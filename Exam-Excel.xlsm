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\Desktop\"/>
    </mc:Choice>
  </mc:AlternateContent>
  <xr:revisionPtr revIDLastSave="0" documentId="13_ncr:1_{A74B305A-AAAD-4E2C-9548-3D5883AA59DC}" xr6:coauthVersionLast="47" xr6:coauthVersionMax="47" xr10:uidLastSave="{00000000-0000-0000-0000-000000000000}"/>
  <bookViews>
    <workbookView xWindow="-120" yWindow="-120" windowWidth="29040" windowHeight="15720" tabRatio="647" activeTab="1" xr2:uid="{00000000-000D-0000-FFFF-FFFF00000000}"/>
  </bookViews>
  <sheets>
    <sheet name="Instrucciones" sheetId="13" r:id="rId1"/>
    <sheet name="Principal" sheetId="4" r:id="rId2"/>
    <sheet name="Pregunta" sheetId="3" r:id="rId3"/>
    <sheet name="BD" sheetId="1" r:id="rId4"/>
    <sheet name="Gráficos" sheetId="8" r:id="rId5"/>
    <sheet name="Glosario" sheetId="11" r:id="rId6"/>
    <sheet name="Anotaciones" sheetId="12" r:id="rId7"/>
    <sheet name="Sesion" sheetId="2" r:id="rId8"/>
    <sheet name="Acerca de" sheetId="14" r:id="rId9"/>
    <sheet name="LICENSE" sheetId="16" r:id="rId10"/>
  </sheets>
  <functionGroups builtInGroupCount="19"/>
  <definedNames>
    <definedName name="_xlnm._FilterDatabase" localSheetId="3" hidden="1">BD!$A$1:$T$6</definedName>
    <definedName name="DatosExternos_1" localSheetId="9" hidden="1">LICENSE!#REF!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4" l="1"/>
  <c r="A19" i="4"/>
  <c r="A18" i="4"/>
  <c r="C17" i="4"/>
  <c r="B17" i="14"/>
  <c r="B5" i="2"/>
  <c r="B1" i="2" l="1"/>
  <c r="BDA2" i="4" l="1"/>
  <c r="BA2" i="4"/>
  <c r="O3" i="3"/>
  <c r="Q9" i="3"/>
  <c r="Q8" i="3"/>
  <c r="Q6" i="3"/>
  <c r="Q5" i="3"/>
  <c r="Q7" i="3" l="1"/>
  <c r="Q4" i="3" l="1"/>
  <c r="P4" i="3" s="1"/>
  <c r="O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tc={58A7F3AF-E1C3-481A-AA76-43D88A20F4C7}</author>
    <author>tc={8A6F87B9-B332-417A-8B35-6CC968CED0BA}</author>
    <author>tc={A411FCD0-31CD-4C03-A070-ABE9E6012A5F}</author>
    <author>tc={416774ED-B1C2-49D7-881C-DDD9FAFE185A}</author>
    <author>tc={451776EF-265C-46A9-961B-9A0A884F72D5}</author>
    <author>tc={87CDC586-52B1-49D9-806C-FA34CB7F0800}</author>
    <author>tc={FB8EE3F8-B321-4C72-87F3-DC7304BC4C65}</author>
    <author>tc={92A08EDB-8288-4942-A377-98865ABA8F08}</author>
    <author>tc={5170B1D9-1751-4909-B2AD-7FFDD6EB9DC1}</author>
    <author>tc={08506CAC-F00C-47D4-99E4-DA5A413C181E}</author>
    <author>tc={8A8DBDC4-C05B-4EAE-8592-577AC5E02145}</author>
    <author>tc={52A56CA0-42DC-4D2C-B271-FEAFB459A95A}</author>
    <author>tc={B5BBB2D6-C314-4B5E-ACC4-4A343F39E092}</author>
    <author>tc={7B366D0F-4F8A-4B6E-B45F-FEC7FBD8ED65}</author>
    <author>tc={0E815CDF-06B0-480B-8BD6-658AC0F1AD72}</author>
    <author>tc={C478B08C-CDC4-40BE-B141-CC9E309DE9FD}</author>
    <author>tc={81F27560-4686-402E-B5DA-69D4EE198210}</author>
    <author>tc={6300D149-E69F-4D1A-B0CB-2C3F4C1FE2D9}</author>
    <author>tc={FF5C8A3C-937A-456C-8EA7-451A855815B5}</author>
    <author>tc={EFF4A283-F644-4DFD-A94B-DE574452C10F}</author>
  </authors>
  <commentList>
    <comment ref="A1" authorId="0" shapeId="0" xr:uid="{58A7F3AF-E1C3-481A-AA76-43D88A20F4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Número de la Unidad o tema</t>
      </text>
    </comment>
    <comment ref="B1" authorId="1" shapeId="0" xr:uid="{8A6F87B9-B332-417A-8B35-6CC968CED0B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 - Nombre de la unidad o tema
 - URL de internet donde se ha sacado la pregunta.
</t>
      </text>
    </comment>
    <comment ref="C1" authorId="2" shapeId="0" xr:uid="{A411FCD0-31CD-4C03-A070-ABE9E6012A5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- Tipo de pregunta
- Subtema
- Origen de la pregunta
</t>
      </text>
    </comment>
    <comment ref="D1" authorId="3" shapeId="0" xr:uid="{416774ED-B1C2-49D7-881C-DDD9FAFE18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Texto de la pregunta.</t>
      </text>
    </comment>
    <comment ref="E1" authorId="4" shapeId="0" xr:uid="{451776EF-265C-46A9-961B-9A0A884F72D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A</t>
      </text>
    </comment>
    <comment ref="F1" authorId="5" shapeId="0" xr:uid="{87CDC586-52B1-49D9-806C-FA34CB7F08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B</t>
      </text>
    </comment>
    <comment ref="G1" authorId="6" shapeId="0" xr:uid="{FB8EE3F8-B321-4C72-87F3-DC7304BC4C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C</t>
      </text>
    </comment>
    <comment ref="H1" authorId="7" shapeId="0" xr:uid="{92A08EDB-8288-4942-A377-98865ABA8F0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D</t>
      </text>
    </comment>
    <comment ref="I1" authorId="8" shapeId="0" xr:uid="{5170B1D9-1751-4909-B2AD-7FFDD6EB9DC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A</t>
      </text>
    </comment>
    <comment ref="J1" authorId="9" shapeId="0" xr:uid="{08506CAC-F00C-47D4-99E4-DA5A413C181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B</t>
      </text>
    </comment>
    <comment ref="K1" authorId="10" shapeId="0" xr:uid="{8A8DBDC4-C05B-4EAE-8592-577AC5E021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C</t>
      </text>
    </comment>
    <comment ref="L1" authorId="11" shapeId="0" xr:uid="{52A56CA0-42DC-4D2C-B271-FEAFB459A9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D</t>
      </text>
    </comment>
    <comment ref="M1" authorId="12" shapeId="0" xr:uid="{B5BBB2D6-C314-4B5E-ACC4-4A343F39E09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Respuesta correcta</t>
      </text>
    </comment>
    <comment ref="N1" authorId="13" shapeId="0" xr:uid="{7B366D0F-4F8A-4B6E-B45F-FEC7FBD8ED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se ha contestado aún en el examen.
1 - La pregunta ya ha sido respondida en el examen (aunque fuera respondida de forma incorrecta).</t>
      </text>
    </comment>
    <comment ref="O1" authorId="14" shapeId="0" xr:uid="{0E815CDF-06B0-480B-8BD6-658AC0F1AD7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la pregunta ya se ha visto en el examen:
0 - La respuesta fue incorrecta.
1 - La respuesta fue correcta.</t>
      </text>
    </comment>
    <comment ref="P1" authorId="15" shapeId="0" xr:uid="{C478B08C-CDC4-40BE-B141-CC9E309DE9FD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esta marcada para revisión.
1 - La pregunta ya ha sido marcada para revisión.
</t>
      </text>
    </comment>
    <comment ref="Q1" authorId="16" shapeId="0" xr:uid="{81F27560-4686-402E-B5DA-69D4EE19821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Información adicional que se quiere mostrar con la respuesta.
A mi me gusta transcribir aquí el texto del manual de referencia donde se puede encontrar la respuesta correcta.
También cualquier otra cuestión que aclare la respuesta o que deba estudiarse mas detenidamente.</t>
      </text>
    </comment>
    <comment ref="R1" authorId="17" shapeId="0" xr:uid="{6300D149-E69F-4D1A-B0CB-2C3F4C1FE2D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campo adicional para filtrar. En mi caso, puedo haber sacado preguntas de distintos sitios, foros, libros, webs. En todo caso, si la respuesta es dudosa, puedo poner aquí una marca y filtrar para que no aparezca en los exámenes.</t>
      </text>
    </comment>
    <comment ref="S1" authorId="18" shapeId="0" xr:uid="{FF5C8A3C-937A-456C-8EA7-451A855815B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correcta.</t>
      </text>
    </comment>
    <comment ref="T1" authorId="19" shapeId="0" xr:uid="{EFF4A283-F644-4DFD-A94B-DE574452C10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incorrecta. 
Puede ayudar a encontrar áreas que necesitan repasarse más profundamente.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5C2E11-53D2-4209-A32F-80BF0C1A4287}" keepAlive="1" name="Consulta - LICENSE" description="Conexión a la consulta 'LICENSE' en el libro." type="5" refreshedVersion="0" background="1">
    <dbPr connection="Provider=Microsoft.Mashup.OleDb.1;Data Source=$Workbook$;Location=LICENSE;Extended Properties=&quot;&quot;" command="SELECT * FROM [LICENSE]"/>
  </connection>
</connections>
</file>

<file path=xl/sharedStrings.xml><?xml version="1.0" encoding="utf-8"?>
<sst xmlns="http://schemas.openxmlformats.org/spreadsheetml/2006/main" count="1200" uniqueCount="1077">
  <si>
    <t>B</t>
  </si>
  <si>
    <t>UN</t>
  </si>
  <si>
    <t>NOMBRE</t>
  </si>
  <si>
    <t>TIPO</t>
  </si>
  <si>
    <t>PREGUNTA</t>
  </si>
  <si>
    <t>A</t>
  </si>
  <si>
    <t>C</t>
  </si>
  <si>
    <t>D</t>
  </si>
  <si>
    <t>RA</t>
  </si>
  <si>
    <t>RB</t>
  </si>
  <si>
    <t>RC</t>
  </si>
  <si>
    <t>RD</t>
  </si>
  <si>
    <t>R</t>
  </si>
  <si>
    <t>Total Preguntas:</t>
  </si>
  <si>
    <t>Pregunta Seleccionada:</t>
  </si>
  <si>
    <t>TIPO:</t>
  </si>
  <si>
    <t>PARTE:</t>
  </si>
  <si>
    <t>Ultima respuesta:</t>
  </si>
  <si>
    <t>REV</t>
  </si>
  <si>
    <t>COR</t>
  </si>
  <si>
    <t>Aleatorio:</t>
  </si>
  <si>
    <t>VAR</t>
  </si>
  <si>
    <t>VISTO:</t>
  </si>
  <si>
    <t>FALLADO:</t>
  </si>
  <si>
    <t>VIS</t>
  </si>
  <si>
    <t>Marcar para revisión:</t>
  </si>
  <si>
    <t>ESTUDIO</t>
  </si>
  <si>
    <t>Orden de las respuestas:</t>
  </si>
  <si>
    <t>Concepto</t>
  </si>
  <si>
    <t>Significado</t>
  </si>
  <si>
    <t>Cálculo</t>
  </si>
  <si>
    <t xml:space="preserve">                                   </t>
  </si>
  <si>
    <t>Filtrado:</t>
  </si>
  <si>
    <t>Filtro</t>
  </si>
  <si>
    <t>Tipo:</t>
  </si>
  <si>
    <t>Hora inicio</t>
  </si>
  <si>
    <t>OK</t>
  </si>
  <si>
    <t>KO</t>
  </si>
  <si>
    <t>OK:</t>
  </si>
  <si>
    <t>KO:</t>
  </si>
  <si>
    <t>ESTADISTICAS:</t>
  </si>
  <si>
    <t>FIGURA 1</t>
  </si>
  <si>
    <t>FIGURA 2</t>
  </si>
  <si>
    <t>Realiza aquí las anotaciones que consideres oportunas</t>
  </si>
  <si>
    <t>Geo01</t>
  </si>
  <si>
    <t>¿Cuál es el río más largo del mundo?</t>
  </si>
  <si>
    <t>Nilo</t>
  </si>
  <si>
    <t>Amazonas</t>
  </si>
  <si>
    <t>Yangtsé</t>
  </si>
  <si>
    <t>Misisipi</t>
  </si>
  <si>
    <t>Tradicionalmente considerado el más largo</t>
  </si>
  <si>
    <t>Actualmente el más largo según mediciones recientes</t>
  </si>
  <si>
    <t>Río más largo de Asia</t>
  </si>
  <si>
    <t>Río largo de EE.UU.</t>
  </si>
  <si>
    <t>Hist01</t>
  </si>
  <si>
    <t>¿En qué año comenzó la Segunda Guerra Mundial?</t>
  </si>
  <si>
    <t>1914</t>
  </si>
  <si>
    <t>1936</t>
  </si>
  <si>
    <t>1939</t>
  </si>
  <si>
    <t>1945</t>
  </si>
  <si>
    <t>Inicio de la I GM</t>
  </si>
  <si>
    <t>Guerra civil española</t>
  </si>
  <si>
    <t>Inicio correcto</t>
  </si>
  <si>
    <t>Fin de la guerra</t>
  </si>
  <si>
    <t>Bio01</t>
  </si>
  <si>
    <t>¿Qué organelo celular produce ATP?</t>
  </si>
  <si>
    <t>Núcleo</t>
  </si>
  <si>
    <t>Mitocondria</t>
  </si>
  <si>
    <t>Ribosoma</t>
  </si>
  <si>
    <t>Lisósolo</t>
  </si>
  <si>
    <t>Control genético</t>
  </si>
  <si>
    <t>Producción de energía</t>
  </si>
  <si>
    <t>Síntesis proteica</t>
  </si>
  <si>
    <t>Digestión celular</t>
  </si>
  <si>
    <t>Astro01</t>
  </si>
  <si>
    <t>¿Cuál es el planeta con más lunas? VER FIGURA 1</t>
  </si>
  <si>
    <t>Marte</t>
  </si>
  <si>
    <t>Júpiter</t>
  </si>
  <si>
    <t>Saturno</t>
  </si>
  <si>
    <t>Urano</t>
  </si>
  <si>
    <t>2 lunas</t>
  </si>
  <si>
    <t>79 lunas</t>
  </si>
  <si>
    <t>Más de 80 lunas</t>
  </si>
  <si>
    <t>27 lunas</t>
  </si>
  <si>
    <t>Mat01</t>
  </si>
  <si>
    <t>¿Qué significa la sigla PI?</t>
  </si>
  <si>
    <t>Proyecto Integrado</t>
  </si>
  <si>
    <t>Índice estadístico</t>
  </si>
  <si>
    <t>Constante matemática</t>
  </si>
  <si>
    <t>Programa informático</t>
  </si>
  <si>
    <t>No es correcta</t>
  </si>
  <si>
    <t>Relación circunferencia/diámetro</t>
  </si>
  <si>
    <t>PI</t>
  </si>
  <si>
    <t>Constante matemática que representa la relación entre la circunferencia y el diámetro de un círculo</t>
  </si>
  <si>
    <t>PI = C / D</t>
  </si>
  <si>
    <t>ATP</t>
  </si>
  <si>
    <t>Molécula que almacena energía en las células</t>
  </si>
  <si>
    <t>Síntesis en mitocondrias mediante respiración celular</t>
  </si>
  <si>
    <t>Versión:</t>
  </si>
  <si>
    <t>Sistema de Exámenes en Excel</t>
  </si>
  <si>
    <t>Practicar preguntas tipo test</t>
  </si>
  <si>
    <t>Simular exámenes reales</t>
  </si>
  <si>
    <t>Registrar aciertos y fallos</t>
  </si>
  <si>
    <t>Facilitar el estudio posterior</t>
  </si>
  <si>
    <t>El libro está organizado en varias hojas, cada una con una función concreta:</t>
  </si>
  <si>
    <t>Pantalla inicial del sistema. Desde aquí se puede:</t>
  </si>
  <si>
    <t>Iniciar una nueva sesión</t>
  </si>
  <si>
    <t>Continuar una sesión anterior</t>
  </si>
  <si>
    <t>Pantalla principal de examen. Muestra:</t>
  </si>
  <si>
    <t>Enunciado de la pregunta</t>
  </si>
  <si>
    <t>Respuestas posibles</t>
  </si>
  <si>
    <t>Indicadores de estado</t>
  </si>
  <si>
    <t>Estadísticas de la pregunta actual</t>
  </si>
  <si>
    <t>Contiene todas las preguntas del examen.</t>
  </si>
  <si>
    <t>Incluye:</t>
  </si>
  <si>
    <t>Enunciado</t>
  </si>
  <si>
    <t>Respuestas A/B/C/D</t>
  </si>
  <si>
    <t>Respuesta correcta</t>
  </si>
  <si>
    <t>Retroalimentación</t>
  </si>
  <si>
    <t>Estadísticas por pregunta</t>
  </si>
  <si>
    <t>Hoja de uso interno del sistema.</t>
  </si>
  <si>
    <t>Almacena:</t>
  </si>
  <si>
    <t>Pregunta actual</t>
  </si>
  <si>
    <t>Orden aleatorio de respuestas</t>
  </si>
  <si>
    <t>Última respuesta marcada</t>
  </si>
  <si>
    <t>Estado de revisión</t>
  </si>
  <si>
    <t>Contiene términos técnicos o siglas usadas en las preguntas.</t>
  </si>
  <si>
    <t>Cada entrada incluye:</t>
  </si>
  <si>
    <t>Método de cálculo (si aplica)</t>
  </si>
  <si>
    <t>Incluye imágenes, gráficos o figuras referenciadas en las preguntas mediante textos como:</t>
  </si>
  <si>
    <t>“VER FIGURA 1”</t>
  </si>
  <si>
    <t>▶ Iniciar un examen</t>
  </si>
  <si>
    <t>3. Se carga la primera pregunta aleatoria</t>
  </si>
  <si>
    <t>El sistema:</t>
  </si>
  <si>
    <t>Marca la respuesta en verde o rojo</t>
  </si>
  <si>
    <t>Muestra la retroalimentación</t>
  </si>
  <si>
    <t>Guarda la selección</t>
  </si>
  <si>
    <t>Contabiliza la pregunta anterior</t>
  </si>
  <si>
    <t>Selecciona una nueva pregunta</t>
  </si>
  <si>
    <t>Actualiza estadísticas</t>
  </si>
  <si>
    <t>Se regresa a la última pregunta mostrada</t>
  </si>
  <si>
    <t>En la parte superior y lateral de la hoja se muestran varios indicadores:</t>
  </si>
  <si>
    <t>Las preguntas marcadas tienen prioridad en la selección aleatoria</t>
  </si>
  <si>
    <t>Permiten reforzar puntos débiles</t>
  </si>
  <si>
    <t>La información de estudio se muestra en un área específica de la pregunta</t>
  </si>
  <si>
    <t>Revisar el contenido</t>
  </si>
  <si>
    <t>Editar la pregunta</t>
  </si>
  <si>
    <t>Ajustar retroalimentación</t>
  </si>
  <si>
    <t>Volver a cargar la pregunta actual</t>
  </si>
  <si>
    <t>Mantener el orden de respuestas</t>
  </si>
  <si>
    <t>No alterar estadísticas</t>
  </si>
  <si>
    <t>El sistema incluye varias capas de aleatoriedad:</t>
  </si>
  <si>
    <t>Selección aleatoria de preguntas</t>
  </si>
  <si>
    <t>Reordenación aleatoria de respuestas</t>
  </si>
  <si>
    <t>Prioridad para preguntas marcadas en revisión</t>
  </si>
  <si>
    <t>Respeto de filtros activos desde la hoja Principal</t>
  </si>
  <si>
    <t>Esto evita:</t>
  </si>
  <si>
    <t>Memorizar posiciones</t>
  </si>
  <si>
    <t>Sesgos en el orden</t>
  </si>
  <si>
    <t>Repeticiones innecesarias</t>
  </si>
  <si>
    <t>Microsoft Excel con macros habilitadas</t>
  </si>
  <si>
    <t>No compatible con Excel Online</t>
  </si>
  <si>
    <t>Recomendado Excel para escritorio</t>
  </si>
  <si>
    <t>Este sistema está pensado para:</t>
  </si>
  <si>
    <t>Preparación de certificaciones</t>
  </si>
  <si>
    <t>Oposiciones</t>
  </si>
  <si>
    <t>Estudios técnicos</t>
  </si>
  <si>
    <t>Autoevaluación continua</t>
  </si>
  <si>
    <t>Este archivo puede:</t>
  </si>
  <si>
    <t>Compartirse</t>
  </si>
  <si>
    <t>Modificarse</t>
  </si>
  <si>
    <t>Ampliarse</t>
  </si>
  <si>
    <t>Siempre respetando:</t>
  </si>
  <si>
    <t>La estructura de hojas</t>
  </si>
  <si>
    <t>Los encabezados de la BD</t>
  </si>
  <si>
    <t>El funcionamiento interno de la sesión</t>
  </si>
  <si>
    <t>Autor: Naidel</t>
  </si>
  <si>
    <t>Sistema de entrenamiento para exámenes en Microsoft Excel</t>
  </si>
  <si>
    <t>Antonio Teodomiro Márquez Muñoz (Naidel)</t>
  </si>
  <si>
    <t>Exam‑Excel by Naidel</t>
  </si>
  <si>
    <r>
      <rPr>
        <b/>
        <sz val="24"/>
        <color rgb="FF0070C0"/>
        <rFont val="Segoe UI"/>
        <family val="2"/>
      </rPr>
      <t xml:space="preserve">ℹ️ </t>
    </r>
    <r>
      <rPr>
        <b/>
        <sz val="24"/>
        <color theme="1"/>
        <rFont val="Segoe UI"/>
        <family val="2"/>
      </rPr>
      <t xml:space="preserve"> ACERCA DE…</t>
    </r>
  </si>
  <si>
    <t>Nombre del proyecto</t>
  </si>
  <si>
    <t>Descripción</t>
  </si>
  <si>
    <r>
      <t xml:space="preserve">Exam‑Excel es un sistema de entrenamiento y autoevaluación para exámenes tipo test desarrollado íntegramente en </t>
    </r>
    <r>
      <rPr>
        <b/>
        <sz val="8"/>
        <color theme="1"/>
        <rFont val="Segoe UI"/>
        <family val="2"/>
      </rPr>
      <t>Microsoft Excel con VBA</t>
    </r>
    <r>
      <rPr>
        <sz val="8"/>
        <color theme="1"/>
        <rFont val="Segoe UI"/>
        <family val="2"/>
      </rPr>
      <t>.</t>
    </r>
  </si>
  <si>
    <t>Permite practicar preguntas, simular exámenes reales, analizar fallos y reforzar el estudio mediante estadísticas y retroalimentación detallada.</t>
  </si>
  <si>
    <t>Está diseñado para certificaciones, oposiciones y estudio técnico, priorizando la reutilización, la flexibilidad y la transparencia del código.</t>
  </si>
  <si>
    <r>
      <rPr>
        <b/>
        <sz val="13.5"/>
        <color rgb="FFFF0000"/>
        <rFont val="Segoe UI"/>
        <family val="2"/>
      </rPr>
      <t>🔖</t>
    </r>
    <r>
      <rPr>
        <b/>
        <sz val="13.5"/>
        <color theme="1"/>
        <rFont val="Segoe UI"/>
        <family val="2"/>
      </rPr>
      <t xml:space="preserve"> Información general</t>
    </r>
  </si>
  <si>
    <r>
      <t>Estado:</t>
    </r>
    <r>
      <rPr>
        <sz val="8"/>
        <color theme="1"/>
        <rFont val="Segoe UI"/>
        <family val="2"/>
      </rPr>
      <t xml:space="preserve"> Estable</t>
    </r>
  </si>
  <si>
    <r>
      <t>Plataforma:</t>
    </r>
    <r>
      <rPr>
        <sz val="8"/>
        <color theme="1"/>
        <rFont val="Segoe UI"/>
        <family val="2"/>
      </rPr>
      <t xml:space="preserve"> Microsoft Excel (Desktop)</t>
    </r>
  </si>
  <si>
    <r>
      <rPr>
        <b/>
        <sz val="13.5"/>
        <color theme="9"/>
        <rFont val="Segoe UI"/>
        <family val="2"/>
      </rPr>
      <t>🏷️</t>
    </r>
    <r>
      <rPr>
        <b/>
        <sz val="13.5"/>
        <color theme="1"/>
        <rFont val="Segoe UI"/>
        <family val="2"/>
      </rPr>
      <t xml:space="preserve"> Versión</t>
    </r>
  </si>
  <si>
    <r>
      <t>Autor:</t>
    </r>
    <r>
      <rPr>
        <sz val="8"/>
        <color theme="1"/>
        <rFont val="Segoe UI"/>
        <family val="2"/>
      </rPr>
      <t xml:space="preserve"> Antonio Teodomiro Márquez Muñoz</t>
    </r>
  </si>
  <si>
    <r>
      <t>Alias:</t>
    </r>
    <r>
      <rPr>
        <sz val="8"/>
        <color theme="1"/>
        <rFont val="Segoe UI"/>
        <family val="2"/>
      </rPr>
      <t xml:space="preserve"> Naidel</t>
    </r>
  </si>
  <si>
    <t>Contacto:</t>
  </si>
  <si>
    <t>📧 atmarquez@gmail.com</t>
  </si>
  <si>
    <r>
      <rPr>
        <b/>
        <sz val="13.5"/>
        <color rgb="FF7030A0"/>
        <rFont val="Segoe UI"/>
        <family val="2"/>
      </rPr>
      <t>👤</t>
    </r>
    <r>
      <rPr>
        <b/>
        <sz val="13.5"/>
        <color theme="1"/>
        <rFont val="Segoe UI"/>
        <family val="2"/>
      </rPr>
      <t xml:space="preserve"> Autor</t>
    </r>
  </si>
  <si>
    <t>© Copyright</t>
  </si>
  <si>
    <t>Copyright © 2024‑2026</t>
  </si>
  <si>
    <r>
      <t xml:space="preserve">Este programa es </t>
    </r>
    <r>
      <rPr>
        <b/>
        <sz val="8"/>
        <color theme="1"/>
        <rFont val="Segoe UI"/>
        <family val="2"/>
      </rPr>
      <t>software libre</t>
    </r>
    <r>
      <rPr>
        <sz val="8"/>
        <color theme="1"/>
        <rFont val="Segoe UI"/>
        <family val="2"/>
      </rPr>
      <t>, distribuido bajo los términos de la</t>
    </r>
  </si>
  <si>
    <r>
      <t>GNU General Public License, versión 3 (GPLv3)</t>
    </r>
    <r>
      <rPr>
        <sz val="8"/>
        <color theme="1"/>
        <rFont val="Segoe UI"/>
        <family val="2"/>
      </rPr>
      <t>.</t>
    </r>
  </si>
  <si>
    <t>Puedes:</t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</si>
  <si>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Usarlo para cualquier propósito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</si>
  <si>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Estudiar cómo funciona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</si>
  <si>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Modificarlo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</si>
  <si>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Redistribuirlo</t>
    </r>
  </si>
  <si>
    <t>Siempre que respetes los términos de dicha licencia.</t>
  </si>
  <si>
    <t>⚠️ Aviso importante:</t>
  </si>
  <si>
    <r>
      <rPr>
        <b/>
        <sz val="13.5"/>
        <color rgb="FF00B0F0"/>
        <rFont val="Segoe UI"/>
        <family val="2"/>
      </rPr>
      <t>🔗</t>
    </r>
    <r>
      <rPr>
        <b/>
        <sz val="13.5"/>
        <color theme="1"/>
        <rFont val="Segoe UI"/>
        <family val="2"/>
      </rPr>
      <t xml:space="preserve"> Enlaces útiles</t>
    </r>
  </si>
  <si>
    <r>
      <rPr>
        <b/>
        <sz val="13.5"/>
        <color theme="9"/>
        <rFont val="Segoe UI"/>
        <family val="2"/>
      </rPr>
      <t>⚖️</t>
    </r>
    <r>
      <rPr>
        <b/>
        <sz val="13.5"/>
        <color theme="1"/>
        <rFont val="Segoe UI"/>
        <family val="2"/>
      </rPr>
      <t xml:space="preserve"> Licencia</t>
    </r>
  </si>
  <si>
    <t>Hoja Principal</t>
  </si>
  <si>
    <t>Inicio de sesión, filtros y control del examen</t>
  </si>
  <si>
    <t>Hoja Pregunta</t>
  </si>
  <si>
    <t>Interfaz principal de preguntas y respuestas</t>
  </si>
  <si>
    <t>Base de Datos (BD)</t>
  </si>
  <si>
    <t>Repositorio de preguntas, respuestas y estadísticas</t>
  </si>
  <si>
    <t>Hoja Sesion</t>
  </si>
  <si>
    <t>Gestión interna del estado del examen (oculta)</t>
  </si>
  <si>
    <t>Glosario</t>
  </si>
  <si>
    <t>Términos técnicos y siglas</t>
  </si>
  <si>
    <t>Gráficos / Figuras</t>
  </si>
  <si>
    <t>Imágenes y elementos visuales referenciados</t>
  </si>
  <si>
    <r>
      <rPr>
        <b/>
        <sz val="13.5"/>
        <color rgb="FF00B050"/>
        <rFont val="Segoe UI"/>
        <family val="2"/>
      </rPr>
      <t>🧩</t>
    </r>
    <r>
      <rPr>
        <b/>
        <sz val="13.5"/>
        <color theme="1"/>
        <rFont val="Segoe UI"/>
        <family val="2"/>
      </rPr>
      <t xml:space="preserve"> Componentes principales del sistema</t>
    </r>
  </si>
  <si>
    <t>Exam‑Excel nace como una herramienta personal que ha sido utilizada con éxito en:</t>
  </si>
  <si>
    <t>Procesos de oposición</t>
  </si>
  <si>
    <t>Estudio auto‑dirigido</t>
  </si>
  <si>
    <t>El objetivo de liberar el proyecto bajo GPLv3 es:</t>
  </si>
  <si>
    <t>Compartir una herramienta útil</t>
  </si>
  <si>
    <t>Facilitar su adaptación a distintos exámenes</t>
  </si>
  <si>
    <t>Permitir que otros la estudien y mejoren</t>
  </si>
  <si>
    <t>Mantener un enfoque honesto y transparente</t>
  </si>
  <si>
    <r>
      <rPr>
        <b/>
        <sz val="13.5"/>
        <color theme="9"/>
        <rFont val="Segoe UI"/>
        <family val="2"/>
      </rPr>
      <t>💡</t>
    </r>
    <r>
      <rPr>
        <b/>
        <sz val="13.5"/>
        <color theme="1"/>
        <rFont val="Segoe UI"/>
        <family val="2"/>
      </rPr>
      <t xml:space="preserve"> Filosofía del proyecto</t>
    </r>
  </si>
  <si>
    <t>Certificaciones técnicas (como CIA/COSO/CISA/CDPSE/CISM/CRISC)</t>
  </si>
  <si>
    <t>Gracias a todas las comunidades de software libre y a las personas que comparten conocimiento, experiencias y herramientas que hacen posible proyectos como este.</t>
  </si>
  <si>
    <r>
      <rPr>
        <b/>
        <sz val="18"/>
        <color rgb="FF00B050"/>
        <rFont val="Segoe UI"/>
        <family val="2"/>
      </rPr>
      <t>✅</t>
    </r>
    <r>
      <rPr>
        <b/>
        <sz val="18"/>
        <color theme="1"/>
        <rFont val="Segoe UI"/>
        <family val="2"/>
      </rPr>
      <t xml:space="preserve"> Agradecimientos</t>
    </r>
  </si>
  <si>
    <t>Añade aquí información adicional que requieras para tu autoestudio</t>
  </si>
  <si>
    <t>🌐 Página del Proyecto</t>
  </si>
  <si>
    <t>📘 Repositorio</t>
  </si>
  <si>
    <t>🐞 Reportar errores / sugerencias</t>
  </si>
  <si>
    <t>📘 Documentación</t>
  </si>
  <si>
    <t>📄 Texto oficial de la licencia GPLv3</t>
  </si>
  <si>
    <t>This program is distributed in the hope that it will be useful, but WITHOUT ANY WARRANTY; without even the implied warranty of MERCHANTABILITY or FITNESS FOR A PARTICULAR PURPOSE. See the GNU General Public License for more details.</t>
  </si>
  <si>
    <r>
      <t xml:space="preserve">Este programa es software libre, distribuido bajo la licencia </t>
    </r>
    <r>
      <rPr>
        <b/>
        <sz val="8"/>
        <color theme="1"/>
        <rFont val="Segoe UI"/>
        <family val="2"/>
      </rPr>
      <t>GNU General Public License versión 3 (GPLv3)</t>
    </r>
    <r>
      <rPr>
        <sz val="8"/>
        <color theme="1"/>
        <rFont val="Segoe UI"/>
        <family val="2"/>
      </rPr>
      <t>.Puedes usarlo, estudiarlo, modificarlo y redistribuirlo bajo los términos de dicha licencia.</t>
    </r>
  </si>
  <si>
    <r>
      <t xml:space="preserve">Este programa se distribuye con la esperanza de que sea útil, pero </t>
    </r>
    <r>
      <rPr>
        <b/>
        <sz val="8"/>
        <color theme="1"/>
        <rFont val="Segoe UI"/>
        <family val="2"/>
      </rPr>
      <t>SIN NINGUNA GARANTÍA</t>
    </r>
    <r>
      <rPr>
        <sz val="8"/>
        <color theme="1"/>
        <rFont val="Segoe UI"/>
        <family val="2"/>
      </rPr>
      <t>; sin siquiera la garantía implícita de COMERCIABILIDAD o IDONEIDAD PARA UN PROPÓSITO PARTICULAR.Consulta el texto completo de la licencia usando las acciones de abajo.</t>
    </r>
  </si>
  <si>
    <r>
      <t xml:space="preserve">This program is free software: you can redistribute it and/or modify it under the terms of the </t>
    </r>
    <r>
      <rPr>
        <b/>
        <sz val="8"/>
        <color theme="1"/>
        <rFont val="Segoe UI"/>
        <family val="2"/>
      </rPr>
      <t>GNU General Public License as published by the Free Software Foundation, either version 3 of the License, or (at your option) any later version.</t>
    </r>
  </si>
  <si>
    <t>❤️ Donar con PayPal</t>
  </si>
  <si>
    <t>Exam‑Excel es software libre. Si te resulta útil, puedes apoyar su desarrollo con una donación voluntaria.</t>
  </si>
  <si>
    <t xml:space="preserve">                    GNU GENERAL PUBLIC LICENSE</t>
  </si>
  <si>
    <t xml:space="preserve">                       Version 3, 29 June 2007</t>
  </si>
  <si>
    <t xml:space="preserve"> Copyright (C) 2007 Free Software Foundation, Inc. &lt;https://fsf.org/&gt;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</si>
  <si>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</si>
  <si>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</si>
  <si>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</si>
  <si>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General Public License is a free, copyleft license for</t>
  </si>
  <si>
    <t>software and other kinds of works.</t>
  </si>
  <si>
    <t xml:space="preserve">  The licenses for most software and other practical works are designed</t>
  </si>
  <si>
    <t>to take away your freedom to share and change the works.  By contrast,</t>
  </si>
  <si>
    <t>the GNU General Public License is intended to guarantee your freedom to</t>
  </si>
  <si>
    <t>share and change all versions of a program--to make sure it remains free</t>
  </si>
  <si>
    <t>software for all its users.  We, the Free Software Foundation, use the</t>
  </si>
  <si>
    <t>GNU General Public License for most of our software; it applies also to</t>
  </si>
  <si>
    <t>any other work released this way by its authors.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</si>
  <si>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</si>
  <si>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</si>
  <si>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</si>
  <si>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</si>
  <si>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</si>
  <si>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</si>
  <si>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</si>
  <si>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To protect your rights, we need to prevent others from denying you</t>
  </si>
  <si>
    <t>these rights or asking you to surrender the rights.  Therefore, you have</t>
  </si>
  <si>
    <t>certain responsibilities if you distribute copies of the software, or if</t>
  </si>
  <si>
    <t>you modify it: responsibilities to respect the freedom of others.</t>
  </si>
  <si>
    <t xml:space="preserve">  For example, if you distribute copies of such a program, whether</t>
  </si>
  <si>
    <t>gratis or for a fee, you must pass on to the recipients the same</t>
  </si>
  <si>
    <t>freedoms that you received.  You must make sure that they, too, receive</t>
  </si>
  <si>
    <t>or can get the source code.  And you must show them these terms so they</t>
  </si>
  <si>
    <t>know their rights.</t>
  </si>
  <si>
    <t xml:space="preserve">  Developers that use the GNU GPL protect your rights with two steps:</t>
  </si>
  <si>
    <t>(1) assert copyright on the software, and (2) offer you this License</t>
  </si>
  <si>
    <t>giving you legal permission to copy, distribute and/or modify it.</t>
  </si>
  <si>
    <t xml:space="preserve">  For the developers' and authors' protection, the GPL clearly explains</t>
  </si>
  <si>
    <t>that there is no warranty for this free software.  For both users' and</t>
  </si>
  <si>
    <t>authors' sake, the GPL requires that modified versions be marked as</t>
  </si>
  <si>
    <t>changed, so that their problems will not be attributed erroneously to</t>
  </si>
  <si>
    <t>authors of previous versions.</t>
  </si>
  <si>
    <t xml:space="preserve">  Some devices are designed to deny users access to install or run</t>
  </si>
  <si>
    <t>modified versions of the software inside them, although the manufacturer</t>
  </si>
  <si>
    <t>can do so.  This is fundamentally incompatible with the aim of</t>
  </si>
  <si>
    <t>protecting users' freedom to change the software.  The systematic</t>
  </si>
  <si>
    <t>pattern of such abuse occurs in the area of products for individuals to</t>
  </si>
  <si>
    <t>use, which is precisely where it is most unacceptable.  Therefore, we</t>
  </si>
  <si>
    <t>have designed this version of the GPL to prohibit the practice for those</t>
  </si>
  <si>
    <t>products.  If such problems arise substantially in other domains, we</t>
  </si>
  <si>
    <t>stand ready to extend this provision to those domains in future versions</t>
  </si>
  <si>
    <t>of the GPL, as needed to protect the freedom of users.</t>
  </si>
  <si>
    <t xml:space="preserve">  Finally, every program is threatened constantly by software patents.</t>
  </si>
  <si>
    <t>States should not allow patents to restrict development and use of</t>
  </si>
  <si>
    <t>software on general-purpose computers, but in those that do, we wish to</t>
  </si>
  <si>
    <t>avoid the special danger that patents applied to a free program could</t>
  </si>
  <si>
    <t>make it effectively proprietary.  To prevent this, the GPL assures that</t>
  </si>
  <si>
    <t>patents cannot be used to render the program non-free.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</si>
  <si>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</si>
  <si>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</si>
  <si>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</si>
  <si>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</si>
  <si>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</si>
  <si>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</si>
  <si>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</si>
  <si>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</si>
  <si>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</si>
  <si>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</si>
  <si>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</si>
  <si>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</si>
  <si>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</si>
  <si>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</si>
  <si>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</si>
  <si>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</si>
  <si>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</si>
  <si>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</si>
  <si>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</si>
  <si>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</si>
  <si>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</si>
  <si>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</si>
  <si>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</si>
  <si>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</si>
  <si>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</si>
  <si>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</si>
  <si>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</si>
  <si>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t>tells the user that there is no warranty for the work (except to the</t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</si>
  <si>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</si>
  <si>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</si>
  <si>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</si>
  <si>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</si>
  <si>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</si>
  <si>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</si>
  <si>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</si>
  <si>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</si>
  <si>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</si>
  <si>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</si>
  <si>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</si>
  <si>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</si>
  <si>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</si>
  <si>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</si>
  <si>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</si>
  <si>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</si>
  <si>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</si>
  <si>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</si>
  <si>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</si>
  <si>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</si>
  <si>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</si>
  <si>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</si>
  <si>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</si>
  <si>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</si>
  <si>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</si>
  <si>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</si>
  <si>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</si>
  <si>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</si>
  <si>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</si>
  <si>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</si>
  <si>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</si>
  <si>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</si>
  <si>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</si>
  <si>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</si>
  <si>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</si>
  <si>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</si>
  <si>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</si>
  <si>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</si>
  <si>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</si>
  <si>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</si>
  <si>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</si>
  <si>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</si>
  <si>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</si>
  <si>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</si>
  <si>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</si>
  <si>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</si>
  <si>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</si>
  <si>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</si>
  <si>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</si>
  <si>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</si>
  <si>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</si>
  <si>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</si>
  <si>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</si>
  <si>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</si>
  <si>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</si>
  <si>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</si>
  <si>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</si>
  <si>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</si>
  <si>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</si>
  <si>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</si>
  <si>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</si>
  <si>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</si>
  <si>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</si>
  <si>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</si>
  <si>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</si>
  <si>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</si>
  <si>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</si>
  <si>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</si>
  <si>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</si>
  <si>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</si>
  <si>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</si>
  <si>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</si>
  <si>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</si>
  <si>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</si>
  <si>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</si>
  <si>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</si>
  <si>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</si>
  <si>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</si>
  <si>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</si>
  <si>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</si>
  <si>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</si>
  <si>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</si>
  <si>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</si>
  <si>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</si>
  <si>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</si>
  <si>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</si>
  <si>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</si>
  <si>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</si>
  <si>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</si>
  <si>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</si>
  <si>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</si>
  <si>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</si>
  <si>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</si>
  <si>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</si>
  <si>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</si>
  <si>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</si>
  <si>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</si>
  <si>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</si>
  <si>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</si>
  <si>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</si>
  <si>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</si>
  <si>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</si>
  <si>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</si>
  <si>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</si>
  <si>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</si>
  <si>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</si>
  <si>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</si>
  <si>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</si>
  <si>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</si>
  <si>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</si>
  <si>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</si>
  <si>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</si>
  <si>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</si>
  <si>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</si>
  <si>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</si>
  <si>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</si>
  <si>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</si>
  <si>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</si>
  <si>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</si>
  <si>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</si>
  <si>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</si>
  <si>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</si>
  <si>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</si>
  <si>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</si>
  <si>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</si>
  <si>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</si>
  <si>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</si>
  <si>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</si>
  <si>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</si>
  <si>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</si>
  <si>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</si>
  <si>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</si>
  <si>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</si>
  <si>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</si>
  <si>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</si>
  <si>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</si>
  <si>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</si>
  <si>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</si>
  <si>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</si>
  <si>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</si>
  <si>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</si>
  <si>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</si>
  <si>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</si>
  <si>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</si>
  <si>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</si>
  <si>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</si>
  <si>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</si>
  <si>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</si>
  <si>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</si>
  <si>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</si>
  <si>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</si>
  <si>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</si>
  <si>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</si>
  <si>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</si>
  <si>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</si>
  <si>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</si>
  <si>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</si>
  <si>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</si>
  <si>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</si>
  <si>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</si>
  <si>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</si>
  <si>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</si>
  <si>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</si>
  <si>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</si>
  <si>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</si>
  <si>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</si>
  <si>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</si>
  <si>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</si>
  <si>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</si>
  <si>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</si>
  <si>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</si>
  <si>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</si>
  <si>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</si>
  <si>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</si>
  <si>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</si>
  <si>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</si>
  <si>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</si>
  <si>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</si>
  <si>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</si>
  <si>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</si>
  <si>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</si>
  <si>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</si>
  <si>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</si>
  <si>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</si>
  <si>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</si>
  <si>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</si>
  <si>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</si>
  <si>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</si>
  <si>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</si>
  <si>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</si>
  <si>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</si>
  <si>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</si>
  <si>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</si>
  <si>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</si>
  <si>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</si>
  <si>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</si>
  <si>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</si>
  <si>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</si>
  <si>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</si>
  <si>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</si>
  <si>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</si>
  <si>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</si>
  <si>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</si>
  <si>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</si>
  <si>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</si>
  <si>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</si>
  <si>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</si>
  <si>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</si>
  <si>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</si>
  <si>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</si>
  <si>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</si>
  <si>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</si>
  <si>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</si>
  <si>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</si>
  <si>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</si>
  <si>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</si>
  <si>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</si>
  <si>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</si>
  <si>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</si>
  <si>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</si>
  <si>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</si>
  <si>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</si>
  <si>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</si>
  <si>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</si>
  <si>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</si>
  <si>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</si>
  <si>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</si>
  <si>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</si>
  <si>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</si>
  <si>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</si>
  <si>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</si>
  <si>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</si>
  <si>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</si>
  <si>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</si>
  <si>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</si>
  <si>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</si>
  <si>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</si>
  <si>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</si>
  <si>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</si>
  <si>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</si>
  <si>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</si>
  <si>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</si>
  <si>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</si>
  <si>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</si>
  <si>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</si>
  <si>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</si>
  <si>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</si>
  <si>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</si>
  <si>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</si>
  <si>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</si>
  <si>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</si>
  <si>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</si>
  <si>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</si>
  <si>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</si>
  <si>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</si>
  <si>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</si>
  <si>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</si>
  <si>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</si>
  <si>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</si>
  <si>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</si>
  <si>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</si>
  <si>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</si>
  <si>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</si>
  <si>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</si>
  <si>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</si>
  <si>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</si>
  <si>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</si>
  <si>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</si>
  <si>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</si>
  <si>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</si>
  <si>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</si>
  <si>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</si>
  <si>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</si>
  <si>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</si>
  <si>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</si>
  <si>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</si>
  <si>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</si>
  <si>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</si>
  <si>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</si>
  <si>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</si>
  <si>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</si>
  <si>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</si>
  <si>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</si>
  <si>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</si>
  <si>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</si>
  <si>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</si>
  <si>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</si>
  <si>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</si>
  <si>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</si>
  <si>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</si>
  <si>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</si>
  <si>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</si>
  <si>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</si>
  <si>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</si>
  <si>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</si>
  <si>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</si>
  <si>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</si>
  <si>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</si>
  <si>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</si>
  <si>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</si>
  <si>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</si>
  <si>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</si>
  <si>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</si>
  <si>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</si>
  <si>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</si>
  <si>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</si>
  <si>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</si>
  <si>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</si>
  <si>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</si>
  <si>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</si>
  <si>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</si>
  <si>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</si>
  <si>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</si>
  <si>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</si>
  <si>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</si>
  <si>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</si>
  <si>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</si>
  <si>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</si>
  <si>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</si>
  <si>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</si>
  <si>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</si>
  <si>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</si>
  <si>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</si>
  <si>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</si>
  <si>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</si>
  <si>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</si>
  <si>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</si>
  <si>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</si>
  <si>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</si>
  <si>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</si>
  <si>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</si>
  <si>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</si>
  <si>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</si>
  <si>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</si>
  <si>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</si>
  <si>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</si>
  <si>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</si>
  <si>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</si>
  <si>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</si>
  <si>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</si>
  <si>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</si>
  <si>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</si>
  <si>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</si>
  <si>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</si>
  <si>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</si>
  <si>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</si>
  <si>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</si>
  <si>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</si>
  <si>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</si>
  <si>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</si>
  <si>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</si>
  <si>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</si>
  <si>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</si>
  <si>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</si>
  <si>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</si>
  <si>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</si>
  <si>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</si>
  <si>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</si>
  <si>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</si>
  <si>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</si>
  <si>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</si>
  <si>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</si>
  <si>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</si>
  <si>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</si>
  <si>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</si>
  <si>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</si>
  <si>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</si>
  <si>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</si>
  <si>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</si>
  <si>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</si>
  <si>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</si>
  <si>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</si>
  <si>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</si>
  <si>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</si>
  <si>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</si>
  <si>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</si>
  <si>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</si>
  <si>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</si>
  <si>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</si>
  <si>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</si>
  <si>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</si>
  <si>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</si>
  <si>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</si>
  <si>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</si>
  <si>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</si>
  <si>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</si>
  <si>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</si>
  <si>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</si>
  <si>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</si>
  <si>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</si>
  <si>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</si>
  <si>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</si>
  <si>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</si>
  <si>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</si>
  <si>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</si>
  <si>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</si>
  <si>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</si>
  <si>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</si>
  <si>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</si>
  <si>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</si>
  <si>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</si>
  <si>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</si>
  <si>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</si>
  <si>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</si>
  <si>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</si>
  <si>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</si>
  <si>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</si>
  <si>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</si>
  <si>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</si>
  <si>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</si>
  <si>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</si>
  <si>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</si>
  <si>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</si>
  <si>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</si>
  <si>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</si>
  <si>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</si>
  <si>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</si>
  <si>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</si>
  <si>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</si>
  <si>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</si>
  <si>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</si>
  <si>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</si>
  <si>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</si>
  <si>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</si>
  <si>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</si>
  <si>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</si>
  <si>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</si>
  <si>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</si>
  <si>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</si>
  <si>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</si>
  <si>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</si>
  <si>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</si>
  <si>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</si>
  <si>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</si>
  <si>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</si>
  <si>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</si>
  <si>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</si>
  <si>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</si>
  <si>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</si>
  <si>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</si>
  <si>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</si>
  <si>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</si>
  <si>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</si>
  <si>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</si>
  <si>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</si>
  <si>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</si>
  <si>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&lt;https://www.gnu.org/licenses/&gt;.</t>
  </si>
  <si>
    <t>Also add information on how to contact you by electronic and paper mail.</t>
  </si>
  <si>
    <t xml:space="preserve">  If the program does terminal interaction, make it output a short</t>
  </si>
  <si>
    <t>notice like this when it starts in an interactive mode:</t>
  </si>
  <si>
    <t xml:space="preserve">    &lt;program&gt;  Copyright (C) &lt;year&gt;  &lt;name of author&gt;</t>
  </si>
  <si>
    <t xml:space="preserve">    This program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</si>
  <si>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</si>
  <si>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</si>
  <si>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</si>
  <si>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your program's commands</t>
  </si>
  <si>
    <t>might be different; for a GUI interface, you would use an "about box".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</si>
  <si>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</si>
  <si>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</si>
  <si>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GPL, see</t>
  </si>
  <si>
    <t>&lt;https://www.gnu.org/licenses/&gt;.</t>
  </si>
  <si>
    <t xml:space="preserve">  The GNU General Public License does not permit incorporating your program</t>
  </si>
  <si>
    <t>into proprietary programs.  If your program is a subroutine library, you</t>
  </si>
  <si>
    <t>may consider it more useful to permit linking proprietary applications with</t>
  </si>
  <si>
    <t>the library.  If this is what you want to do, use the GNU Lesser General</t>
  </si>
  <si>
    <t>Public License instead of this License.  But first, please read</t>
  </si>
  <si>
    <t>&lt;https://www.gnu.org/licenses/why-not-lgpl.html&gt;.</t>
  </si>
  <si>
    <t>recipients may be individuals or organizations.</t>
  </si>
  <si>
    <t>Major Component, in this context, means a major essential component</t>
  </si>
  <si>
    <t>aggregate if the compilation and its resulting copyright are not</t>
  </si>
  <si>
    <t>Password:</t>
  </si>
  <si>
    <t>por-favor-respeta-este-trabajo</t>
  </si>
  <si>
    <r>
      <rPr>
        <b/>
        <sz val="24"/>
        <color rgb="FF00B050"/>
        <rFont val="Segoe UI"/>
        <family val="2"/>
      </rPr>
      <t>📘</t>
    </r>
    <r>
      <rPr>
        <b/>
        <sz val="24"/>
        <color rgb="FF0070C0"/>
        <rFont val="Segoe UI"/>
        <family val="2"/>
      </rPr>
      <t xml:space="preserve"> MANUAL DE USUARIO</t>
    </r>
  </si>
  <si>
    <r>
      <rPr>
        <b/>
        <sz val="18"/>
        <color rgb="FFFF0000"/>
        <rFont val="Segoe UI"/>
        <family val="2"/>
      </rPr>
      <t>1️⃣</t>
    </r>
    <r>
      <rPr>
        <b/>
        <sz val="18"/>
        <color rgb="FF0070C0"/>
        <rFont val="Segoe UI"/>
        <family val="2"/>
      </rPr>
      <t xml:space="preserve"> Descripción general</t>
    </r>
  </si>
  <si>
    <r>
      <rPr>
        <b/>
        <sz val="18"/>
        <color rgb="FFFF0000"/>
        <rFont val="Segoe UI"/>
        <family val="2"/>
      </rPr>
      <t>2️⃣</t>
    </r>
    <r>
      <rPr>
        <b/>
        <sz val="18"/>
        <color rgb="FF0070C0"/>
        <rFont val="Segoe UI"/>
        <family val="2"/>
      </rPr>
      <t xml:space="preserve"> Estructura del archivo</t>
    </r>
  </si>
  <si>
    <r>
      <rPr>
        <b/>
        <sz val="18"/>
        <color rgb="FFFF0000"/>
        <rFont val="Segoe UI"/>
        <family val="2"/>
      </rPr>
      <t>3️⃣</t>
    </r>
    <r>
      <rPr>
        <b/>
        <sz val="18"/>
        <color rgb="FF0070C0"/>
        <rFont val="Segoe UI"/>
        <family val="2"/>
      </rPr>
      <t xml:space="preserve"> Funcionamiento básico</t>
    </r>
  </si>
  <si>
    <r>
      <rPr>
        <b/>
        <sz val="18"/>
        <color rgb="FFFF0000"/>
        <rFont val="Segoe UI"/>
        <family val="2"/>
      </rPr>
      <t>4️⃣</t>
    </r>
    <r>
      <rPr>
        <b/>
        <sz val="18"/>
        <color rgb="FF0070C0"/>
        <rFont val="Segoe UI"/>
        <family val="2"/>
      </rPr>
      <t xml:space="preserve"> Indicadores en pantalla (hoja “Pregunta”)</t>
    </r>
  </si>
  <si>
    <r>
      <rPr>
        <b/>
        <sz val="18"/>
        <color rgb="FFFF0000"/>
        <rFont val="Segoe UI"/>
        <family val="2"/>
      </rPr>
      <t>5️⃣</t>
    </r>
    <r>
      <rPr>
        <b/>
        <sz val="18"/>
        <color rgb="FF0070C0"/>
        <rFont val="Segoe UI"/>
        <family val="2"/>
      </rPr>
      <t xml:space="preserve"> Revisión y estudio</t>
    </r>
  </si>
  <si>
    <r>
      <rPr>
        <b/>
        <sz val="18"/>
        <color rgb="FFFF0000"/>
        <rFont val="Segoe UI"/>
        <family val="2"/>
      </rPr>
      <t xml:space="preserve">6️⃣ </t>
    </r>
    <r>
      <rPr>
        <b/>
        <sz val="18"/>
        <color rgb="FF0070C0"/>
        <rFont val="Segoe UI"/>
        <family val="2"/>
      </rPr>
      <t>Navegación avanzada</t>
    </r>
  </si>
  <si>
    <r>
      <rPr>
        <b/>
        <sz val="18"/>
        <color rgb="FFFF0000"/>
        <rFont val="Segoe UI"/>
        <family val="2"/>
      </rPr>
      <t>7️⃣</t>
    </r>
    <r>
      <rPr>
        <b/>
        <sz val="18"/>
        <color rgb="FF0070C0"/>
        <rFont val="Segoe UI"/>
        <family val="2"/>
      </rPr>
      <t xml:space="preserve"> Aleatoriedad del sistema</t>
    </r>
  </si>
  <si>
    <r>
      <rPr>
        <b/>
        <sz val="18"/>
        <color rgb="FFFF0000"/>
        <rFont val="Segoe UI"/>
        <family val="2"/>
      </rPr>
      <t>8️⃣</t>
    </r>
    <r>
      <rPr>
        <b/>
        <sz val="18"/>
        <color rgb="FF0070C0"/>
        <rFont val="Segoe UI"/>
        <family val="2"/>
      </rPr>
      <t xml:space="preserve"> Requisitos técnicos</t>
    </r>
  </si>
  <si>
    <r>
      <rPr>
        <b/>
        <sz val="18"/>
        <color rgb="FFFF0000"/>
        <rFont val="Segoe UI"/>
        <family val="2"/>
      </rPr>
      <t>9️⃣</t>
    </r>
    <r>
      <rPr>
        <b/>
        <sz val="18"/>
        <color rgb="FF0070C0"/>
        <rFont val="Segoe UI"/>
        <family val="2"/>
      </rPr>
      <t xml:space="preserve"> Uso recomendado</t>
    </r>
  </si>
  <si>
    <r>
      <rPr>
        <b/>
        <sz val="18"/>
        <color rgb="FFFF0000"/>
        <rFont val="Segoe UI"/>
        <family val="2"/>
      </rPr>
      <t>10️⃣</t>
    </r>
    <r>
      <rPr>
        <b/>
        <sz val="18"/>
        <color rgb="FF0070C0"/>
        <rFont val="Segoe UI"/>
        <family val="2"/>
      </rPr>
      <t xml:space="preserve"> Nota final</t>
    </r>
  </si>
  <si>
    <r>
      <t xml:space="preserve">Este archivo Excel es un </t>
    </r>
    <r>
      <rPr>
        <b/>
        <sz val="8"/>
        <rFont val="Segoe UI"/>
        <family val="2"/>
      </rPr>
      <t>sistema interactivo de entrenamiento para exámenes</t>
    </r>
    <r>
      <rPr>
        <sz val="8"/>
        <rFont val="Segoe UI"/>
        <family val="2"/>
      </rPr>
      <t>, diseñado para:</t>
    </r>
  </si>
  <si>
    <r>
      <t xml:space="preserve">El sistema funciona íntegramente en Excel mediante </t>
    </r>
    <r>
      <rPr>
        <b/>
        <sz val="8"/>
        <rFont val="Segoe UI"/>
        <family val="2"/>
      </rPr>
      <t>macros VBA</t>
    </r>
    <r>
      <rPr>
        <sz val="8"/>
        <rFont val="Segoe UI"/>
        <family val="2"/>
      </rPr>
      <t xml:space="preserve">, y está pensado para ser </t>
    </r>
    <r>
      <rPr>
        <b/>
        <sz val="8"/>
        <rFont val="Segoe UI"/>
        <family val="2"/>
      </rPr>
      <t>configurable, reutilizable y ampliable</t>
    </r>
    <r>
      <rPr>
        <sz val="8"/>
        <rFont val="Segoe UI"/>
        <family val="2"/>
      </rPr>
      <t>.</t>
    </r>
  </si>
  <si>
    <r>
      <t xml:space="preserve">1. Ir a la hoja </t>
    </r>
    <r>
      <rPr>
        <b/>
        <sz val="8"/>
        <rFont val="Segoe UI"/>
        <family val="2"/>
      </rPr>
      <t>Principal</t>
    </r>
  </si>
  <si>
    <r>
      <t xml:space="preserve">2. Pulsar el botón </t>
    </r>
    <r>
      <rPr>
        <b/>
        <sz val="8"/>
        <rFont val="Segoe UI"/>
        <family val="2"/>
      </rPr>
      <t>Comenzar</t>
    </r>
  </si>
  <si>
    <r>
      <t xml:space="preserve">Hacer </t>
    </r>
    <r>
      <rPr>
        <b/>
        <sz val="8"/>
        <rFont val="Segoe UI"/>
        <family val="2"/>
      </rPr>
      <t>doble clic</t>
    </r>
    <r>
      <rPr>
        <sz val="8"/>
        <rFont val="Segoe UI"/>
        <family val="2"/>
      </rPr>
      <t xml:space="preserve"> sobre la respuesta deseada</t>
    </r>
  </si>
  <si>
    <r>
      <t xml:space="preserve">Pulsar </t>
    </r>
    <r>
      <rPr>
        <b/>
        <sz val="8"/>
        <rFont val="Segoe UI"/>
        <family val="2"/>
      </rPr>
      <t>Siguiente</t>
    </r>
  </si>
  <si>
    <r>
      <t xml:space="preserve">Desde </t>
    </r>
    <r>
      <rPr>
        <b/>
        <sz val="8"/>
        <rFont val="Segoe UI"/>
        <family val="2"/>
      </rPr>
      <t>Principal</t>
    </r>
    <r>
      <rPr>
        <sz val="8"/>
        <rFont val="Segoe UI"/>
        <family val="2"/>
      </rPr>
      <t xml:space="preserve">, pulsar </t>
    </r>
    <r>
      <rPr>
        <b/>
        <sz val="8"/>
        <rFont val="Segoe UI"/>
        <family val="2"/>
      </rPr>
      <t>Continuar sesión</t>
    </r>
  </si>
  <si>
    <r>
      <t>Visto</t>
    </r>
    <r>
      <rPr>
        <sz val="8"/>
        <rFont val="Segoe UI"/>
        <family val="2"/>
      </rPr>
      <t>: indica si la pregunta ya ha sido mostrada</t>
    </r>
  </si>
  <si>
    <r>
      <t>Fallado</t>
    </r>
    <r>
      <rPr>
        <sz val="8"/>
        <rFont val="Segoe UI"/>
        <family val="2"/>
      </rPr>
      <t>: indica si alguna vez se respondió mal</t>
    </r>
  </si>
  <si>
    <r>
      <t>Aciertos / Fallos</t>
    </r>
    <r>
      <rPr>
        <sz val="8"/>
        <rFont val="Segoe UI"/>
        <family val="2"/>
      </rPr>
      <t>: estadísticas históricas de esa pregunta</t>
    </r>
  </si>
  <si>
    <r>
      <t>Total sesión</t>
    </r>
    <r>
      <rPr>
        <sz val="8"/>
        <rFont val="Segoe UI"/>
        <family val="2"/>
      </rPr>
      <t>: preguntas respondidas en la sesión actual</t>
    </r>
  </si>
  <si>
    <r>
      <t>Porcentaje</t>
    </r>
    <r>
      <rPr>
        <sz val="8"/>
        <rFont val="Segoe UI"/>
        <family val="2"/>
      </rPr>
      <t>: aciertos / total de la sesión</t>
    </r>
  </si>
  <si>
    <r>
      <t xml:space="preserve">Algunas preguntas pueden marcarse para </t>
    </r>
    <r>
      <rPr>
        <b/>
        <sz val="8"/>
        <rFont val="Segoe UI"/>
        <family val="2"/>
      </rPr>
      <t>revisión</t>
    </r>
    <r>
      <rPr>
        <sz val="8"/>
        <rFont val="Segoe UI"/>
        <family val="2"/>
      </rPr>
      <t>.</t>
    </r>
  </si>
  <si>
    <r>
      <t xml:space="preserve">Desde la hoja </t>
    </r>
    <r>
      <rPr>
        <b/>
        <sz val="8"/>
        <rFont val="Segoe UI"/>
        <family val="2"/>
      </rPr>
      <t>Pregunta</t>
    </r>
    <r>
      <rPr>
        <sz val="8"/>
        <rFont val="Segoe UI"/>
        <family val="2"/>
      </rPr>
      <t xml:space="preserve">, se puede abrir directamente la fila correspondiente en </t>
    </r>
    <r>
      <rPr>
        <b/>
        <sz val="8"/>
        <rFont val="Segoe UI"/>
        <family val="2"/>
      </rPr>
      <t>BD</t>
    </r>
    <r>
      <rPr>
        <sz val="8"/>
        <rFont val="Segoe UI"/>
        <family val="2"/>
      </rPr>
      <t xml:space="preserve"> para:</t>
    </r>
  </si>
  <si>
    <r>
      <t xml:space="preserve">Si se modifica una pregunta en la BD, el botón </t>
    </r>
    <r>
      <rPr>
        <b/>
        <sz val="8"/>
        <rFont val="Segoe UI"/>
        <family val="2"/>
      </rPr>
      <t>Refrescar</t>
    </r>
    <r>
      <rPr>
        <sz val="8"/>
        <rFont val="Segoe UI"/>
        <family val="2"/>
      </rPr>
      <t xml:space="preserve"> permite:</t>
    </r>
  </si>
  <si>
    <r>
      <rPr>
        <sz val="8"/>
        <color theme="9"/>
        <rFont val="Segoe UI"/>
        <family val="2"/>
      </rPr>
      <t>⚠️</t>
    </r>
    <r>
      <rPr>
        <sz val="8"/>
        <rFont val="Segoe UI"/>
        <family val="2"/>
      </rPr>
      <t xml:space="preserve"> Si las macros están desactivadas, el sistema </t>
    </r>
    <r>
      <rPr>
        <b/>
        <sz val="8"/>
        <rFont val="Segoe UI"/>
        <family val="2"/>
      </rPr>
      <t>no funcionará</t>
    </r>
    <r>
      <rPr>
        <sz val="8"/>
        <rFont val="Segoe UI"/>
        <family val="2"/>
      </rPr>
      <t>.</t>
    </r>
  </si>
  <si>
    <r>
      <t xml:space="preserve">Puede adaptarse fácilmente añadiendo nuevas preguntas en la hoja </t>
    </r>
    <r>
      <rPr>
        <b/>
        <sz val="8"/>
        <rFont val="Segoe UI"/>
        <family val="2"/>
      </rPr>
      <t>BD</t>
    </r>
    <r>
      <rPr>
        <sz val="8"/>
        <rFont val="Segoe UI"/>
        <family val="2"/>
      </rPr>
      <t>.</t>
    </r>
  </si>
  <si>
    <r>
      <rPr>
        <sz val="8"/>
        <color rgb="FF00B050"/>
        <rFont val="Segoe UI"/>
        <family val="2"/>
      </rPr>
      <t>✅</t>
    </r>
    <r>
      <rPr>
        <sz val="8"/>
        <color rgb="FF0070C0"/>
        <rFont val="Segoe UI"/>
        <family val="2"/>
      </rPr>
      <t xml:space="preserve"> </t>
    </r>
    <r>
      <rPr>
        <b/>
        <sz val="8"/>
        <color rgb="FF0070C0"/>
        <rFont val="Segoe UI"/>
        <family val="2"/>
      </rPr>
      <t>Fin del manual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</si>
  <si>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Principal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</si>
  <si>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Pregunta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</si>
  <si>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BD (Base de Datos)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</si>
  <si>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Sesion (hoja interna)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</si>
  <si>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Glosario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</si>
  <si>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Gráficos</t>
    </r>
  </si>
  <si>
    <r>
      <rPr>
        <sz val="8"/>
        <color rgb="FF00B050"/>
        <rFont val="Segoe UI"/>
        <family val="2"/>
      </rPr>
      <t>✅</t>
    </r>
    <r>
      <rPr>
        <sz val="8"/>
        <rFont val="Segoe UI"/>
        <family val="2"/>
      </rPr>
      <t xml:space="preserve"> </t>
    </r>
    <r>
      <rPr>
        <b/>
        <sz val="8"/>
        <rFont val="Segoe UI"/>
        <family val="2"/>
      </rPr>
      <t>La respuesta se selecciona haciendo doble clic sobre la opción deseada.</t>
    </r>
  </si>
  <si>
    <r>
      <rPr>
        <sz val="8"/>
        <color theme="9"/>
        <rFont val="Segoe UI"/>
        <family val="2"/>
      </rPr>
      <t>⚠️</t>
    </r>
    <r>
      <rPr>
        <sz val="8"/>
        <rFont val="Segoe UI"/>
        <family val="2"/>
      </rPr>
      <t xml:space="preserve"> Esta hoja está pensada para </t>
    </r>
    <r>
      <rPr>
        <b/>
        <sz val="8"/>
        <rFont val="Segoe UI"/>
        <family val="2"/>
      </rPr>
      <t>edición y mantenimiento</t>
    </r>
    <r>
      <rPr>
        <sz val="8"/>
        <rFont val="Segoe UI"/>
        <family val="2"/>
      </rPr>
      <t>, no para uso en examen.</t>
    </r>
  </si>
  <si>
    <r>
      <rPr>
        <sz val="8"/>
        <color theme="7"/>
        <rFont val="Segoe UI"/>
        <family val="2"/>
      </rPr>
      <t>🔒</t>
    </r>
    <r>
      <rPr>
        <sz val="8"/>
        <rFont val="Segoe UI"/>
        <family val="2"/>
      </rPr>
      <t xml:space="preserve"> </t>
    </r>
    <r>
      <rPr>
        <b/>
        <sz val="8"/>
        <rFont val="Segoe UI"/>
        <family val="2"/>
      </rPr>
      <t>Esta hoja puede estar oculta</t>
    </r>
    <r>
      <rPr>
        <sz val="8"/>
        <rFont val="Segoe UI"/>
        <family val="2"/>
      </rPr>
      <t>, ya que no requiere interacción directa del usuario.</t>
    </r>
  </si>
  <si>
    <r>
      <rPr>
        <b/>
        <sz val="13.5"/>
        <color rgb="FF00B0F0"/>
        <rFont val="Segoe UI"/>
        <family val="2"/>
      </rPr>
      <t>🔍</t>
    </r>
    <r>
      <rPr>
        <b/>
        <sz val="13.5"/>
        <color rgb="FF0070C0"/>
        <rFont val="Segoe UI"/>
        <family val="2"/>
      </rPr>
      <t xml:space="preserve"> Ver pregunta en la Base de Datos</t>
    </r>
  </si>
  <si>
    <r>
      <rPr>
        <b/>
        <sz val="13.5"/>
        <color rgb="FF00B050"/>
        <rFont val="Segoe UI"/>
        <family val="2"/>
      </rPr>
      <t>🔄</t>
    </r>
    <r>
      <rPr>
        <b/>
        <sz val="13.5"/>
        <color rgb="FF0070C0"/>
        <rFont val="Segoe UI"/>
        <family val="2"/>
      </rPr>
      <t xml:space="preserve"> Refrescar pregunta</t>
    </r>
  </si>
  <si>
    <r>
      <rPr>
        <b/>
        <sz val="13.5"/>
        <color rgb="FF00B050"/>
        <rFont val="Segoe UI"/>
        <family val="2"/>
      </rPr>
      <t xml:space="preserve">✅ </t>
    </r>
    <r>
      <rPr>
        <b/>
        <sz val="13.5"/>
        <color rgb="FF0070C0"/>
        <rFont val="Segoe UI"/>
        <family val="2"/>
      </rPr>
      <t>Responder una pregunta</t>
    </r>
  </si>
  <si>
    <r>
      <rPr>
        <b/>
        <sz val="13.5"/>
        <color rgb="FF00B050"/>
        <rFont val="Segoe UI"/>
        <family val="2"/>
      </rPr>
      <t>🔁</t>
    </r>
    <r>
      <rPr>
        <b/>
        <sz val="13.5"/>
        <color rgb="FF0070C0"/>
        <rFont val="Segoe UI"/>
        <family val="2"/>
      </rPr>
      <t xml:space="preserve"> Continuar una sesión</t>
    </r>
  </si>
  <si>
    <r>
      <rPr>
        <b/>
        <sz val="13.5"/>
        <color theme="2" tint="-0.499984740745262"/>
        <rFont val="Segoe UI"/>
        <family val="2"/>
      </rPr>
      <t>⏭</t>
    </r>
    <r>
      <rPr>
        <b/>
        <sz val="13.5"/>
        <color rgb="FF0070C0"/>
        <rFont val="Segoe UI"/>
        <family val="2"/>
      </rPr>
      <t xml:space="preserve"> Avanzar a la siguiente pregunta</t>
    </r>
  </si>
  <si>
    <t>Gen01</t>
  </si>
  <si>
    <t>¿Cuál es la capital de Canadá?</t>
  </si>
  <si>
    <t>Toronto</t>
  </si>
  <si>
    <t>Ottawa</t>
  </si>
  <si>
    <t>Vancouver</t>
  </si>
  <si>
    <t>Montreal</t>
  </si>
  <si>
    <t>Ciudad más poblada</t>
  </si>
  <si>
    <t>Capital correcta</t>
  </si>
  <si>
    <t>Ciudad costera</t>
  </si>
  <si>
    <t>Ciudad francófona</t>
  </si>
  <si>
    <t>Gen02</t>
  </si>
  <si>
    <t>¿Cuántos continentes hay en la Tierra?</t>
  </si>
  <si>
    <t>5</t>
  </si>
  <si>
    <t>6</t>
  </si>
  <si>
    <t>7</t>
  </si>
  <si>
    <t>8</t>
  </si>
  <si>
    <t>Modelo antiguo</t>
  </si>
  <si>
    <t>Con Antártida</t>
  </si>
  <si>
    <t>Modelo actual</t>
  </si>
  <si>
    <t>Incorrecto</t>
  </si>
  <si>
    <t>Gen03</t>
  </si>
  <si>
    <t>¿Quién escribió 'El Quijote'?</t>
  </si>
  <si>
    <t>Miguel de Unamuno</t>
  </si>
  <si>
    <t>Miguel de Cervantes</t>
  </si>
  <si>
    <t>Lope de Vega</t>
  </si>
  <si>
    <t>Federico García Lorca</t>
  </si>
  <si>
    <t>Autor distinto</t>
  </si>
  <si>
    <t>Autor correcto</t>
  </si>
  <si>
    <t>Contemporáneo</t>
  </si>
  <si>
    <t>Siglo XX</t>
  </si>
  <si>
    <t>Gen04</t>
  </si>
  <si>
    <t>¿Qué planeta es conocido como el planeta rojo?</t>
  </si>
  <si>
    <t>Mercurio</t>
  </si>
  <si>
    <t>Venus</t>
  </si>
  <si>
    <t>Planeta cercano al Sol</t>
  </si>
  <si>
    <t>Muy caliente</t>
  </si>
  <si>
    <t>Hierro oxidado</t>
  </si>
  <si>
    <t>Gigante gaseoso</t>
  </si>
  <si>
    <t>Gen05</t>
  </si>
  <si>
    <t>¿En qué país se encuentra Machu Picchu?</t>
  </si>
  <si>
    <t>México</t>
  </si>
  <si>
    <t>Bolivia</t>
  </si>
  <si>
    <t>Perú</t>
  </si>
  <si>
    <t>Chile</t>
  </si>
  <si>
    <t>Centroamérica</t>
  </si>
  <si>
    <t>Altiplano</t>
  </si>
  <si>
    <t>Cordillera sur</t>
  </si>
  <si>
    <t>Gen06</t>
  </si>
  <si>
    <t>¿Qué gas es esencial para la respiración humana?</t>
  </si>
  <si>
    <t>Nitrógeno</t>
  </si>
  <si>
    <t>Oxígeno</t>
  </si>
  <si>
    <t>Hidrógeno</t>
  </si>
  <si>
    <t>Dióxido de carbono</t>
  </si>
  <si>
    <t>Mayoritario en atmósfera</t>
  </si>
  <si>
    <t>Gas respirable</t>
  </si>
  <si>
    <t>Inflamable</t>
  </si>
  <si>
    <t>Gas residual</t>
  </si>
  <si>
    <t>Gen07</t>
  </si>
  <si>
    <t>¿Cuál es el océano más grande del mundo?</t>
  </si>
  <si>
    <t>Atlántico</t>
  </si>
  <si>
    <t>Índico</t>
  </si>
  <si>
    <t>Ártico</t>
  </si>
  <si>
    <t>Pacífico</t>
  </si>
  <si>
    <t>Segundo mayor</t>
  </si>
  <si>
    <t>Entre África y Asia</t>
  </si>
  <si>
    <t>El más pequeño</t>
  </si>
  <si>
    <t>El más grande</t>
  </si>
  <si>
    <t>Gen08</t>
  </si>
  <si>
    <t>¿Qué idioma tiene más hablantes nativos?</t>
  </si>
  <si>
    <t>Inglés</t>
  </si>
  <si>
    <t>Español</t>
  </si>
  <si>
    <t>Mandarín</t>
  </si>
  <si>
    <t>Hindi</t>
  </si>
  <si>
    <t>Lengua internacional</t>
  </si>
  <si>
    <t>Muy hablado</t>
  </si>
  <si>
    <t>Mayor comunidad nativa</t>
  </si>
  <si>
    <t>Lengua de India</t>
  </si>
  <si>
    <t>Gen09</t>
  </si>
  <si>
    <t>¿Qué instrumento mide la temperatura?</t>
  </si>
  <si>
    <t>Barómetro</t>
  </si>
  <si>
    <t>Termómetro</t>
  </si>
  <si>
    <t>Higrómetro</t>
  </si>
  <si>
    <t>Anemómetro</t>
  </si>
  <si>
    <t>Presión</t>
  </si>
  <si>
    <t>Temperatura</t>
  </si>
  <si>
    <t>Humedad</t>
  </si>
  <si>
    <t>Viento</t>
  </si>
  <si>
    <t>Gen10</t>
  </si>
  <si>
    <t>¿Cuál es el metal cuyo símbolo es Fe?</t>
  </si>
  <si>
    <t>Plomo</t>
  </si>
  <si>
    <t>Hierro</t>
  </si>
  <si>
    <t>Estaño</t>
  </si>
  <si>
    <t>Cobre</t>
  </si>
  <si>
    <t>Pb</t>
  </si>
  <si>
    <t>Fe</t>
  </si>
  <si>
    <t>Sn</t>
  </si>
  <si>
    <t>Cu</t>
  </si>
  <si>
    <t>Gen11</t>
  </si>
  <si>
    <t>¿En qué siglo ocurrió la Revolución Francesa?</t>
  </si>
  <si>
    <t>Siglo XVI</t>
  </si>
  <si>
    <t>Siglo XVII</t>
  </si>
  <si>
    <t>Siglo XVIII</t>
  </si>
  <si>
    <t>Siglo XIX</t>
  </si>
  <si>
    <t>Posterior</t>
  </si>
  <si>
    <t>Gen12</t>
  </si>
  <si>
    <t>¿Qué parte del cuerpo humano bombea la sangre?</t>
  </si>
  <si>
    <t>Pulmones</t>
  </si>
  <si>
    <t>Hígado</t>
  </si>
  <si>
    <t>Cerebro</t>
  </si>
  <si>
    <t>Corazón</t>
  </si>
  <si>
    <t>Respiración</t>
  </si>
  <si>
    <t>Metabolismo</t>
  </si>
  <si>
    <t>Control nervioso</t>
  </si>
  <si>
    <t>Función circulatoria</t>
  </si>
  <si>
    <t>Gen13</t>
  </si>
  <si>
    <t>¿Cuál es el idioma oficial de Brasil?</t>
  </si>
  <si>
    <t>Portugués</t>
  </si>
  <si>
    <t>Francés</t>
  </si>
  <si>
    <t>Común en región</t>
  </si>
  <si>
    <t>Colonial</t>
  </si>
  <si>
    <t>Gen14</t>
  </si>
  <si>
    <t>¿Qué planeta tiene los anillos más visibles?</t>
  </si>
  <si>
    <t>Neptuno</t>
  </si>
  <si>
    <t>Anillos débiles</t>
  </si>
  <si>
    <t>Inclinados</t>
  </si>
  <si>
    <t>Muy visibles</t>
  </si>
  <si>
    <t>Distante</t>
  </si>
  <si>
    <t>Gen15</t>
  </si>
  <si>
    <t>¿Qué ciencia estudia los terremotos?</t>
  </si>
  <si>
    <t>Meteorología</t>
  </si>
  <si>
    <t>Geología</t>
  </si>
  <si>
    <t>Sismología</t>
  </si>
  <si>
    <t>Astronomía</t>
  </si>
  <si>
    <t>Clima</t>
  </si>
  <si>
    <t>Estructura terrestre</t>
  </si>
  <si>
    <t>Espacio</t>
  </si>
  <si>
    <t>Gen16</t>
  </si>
  <si>
    <t>¿Cuál es la moneda oficial del Reino Unido?</t>
  </si>
  <si>
    <t>Euro</t>
  </si>
  <si>
    <t>Libra esterlina</t>
  </si>
  <si>
    <t>Dólar</t>
  </si>
  <si>
    <t>Corona</t>
  </si>
  <si>
    <t>UE</t>
  </si>
  <si>
    <t>EEUU</t>
  </si>
  <si>
    <t>Países nórdicos</t>
  </si>
  <si>
    <t>Gen17</t>
  </si>
  <si>
    <t>¿Qué órgano del cuerpo humano filtra la sangre?</t>
  </si>
  <si>
    <t>Riñones</t>
  </si>
  <si>
    <t>Estómago</t>
  </si>
  <si>
    <t>Páncreas</t>
  </si>
  <si>
    <t>Oxigenación</t>
  </si>
  <si>
    <t>Filtrado</t>
  </si>
  <si>
    <t>Digestión</t>
  </si>
  <si>
    <t>Regulación glucosa</t>
  </si>
  <si>
    <t>Gen18</t>
  </si>
  <si>
    <t>¿Cuál es el continente más grande?</t>
  </si>
  <si>
    <t>África</t>
  </si>
  <si>
    <t>Europa</t>
  </si>
  <si>
    <t>Asia</t>
  </si>
  <si>
    <t>América</t>
  </si>
  <si>
    <t>Extenso</t>
  </si>
  <si>
    <t>Pequeño</t>
  </si>
  <si>
    <t>Modelo combinado</t>
  </si>
  <si>
    <t>Gen19</t>
  </si>
  <si>
    <t>¿Qué fenómeno produce el arcoíris?</t>
  </si>
  <si>
    <t>Reflexión</t>
  </si>
  <si>
    <t>Difracción</t>
  </si>
  <si>
    <t>Refracción y reflexión</t>
  </si>
  <si>
    <t>Absorción</t>
  </si>
  <si>
    <t>Luz reflejada</t>
  </si>
  <si>
    <t>Ondas</t>
  </si>
  <si>
    <t>Pérdida de luz</t>
  </si>
  <si>
    <t>Gen20</t>
  </si>
  <si>
    <t>¿Qué país inventó el papel?</t>
  </si>
  <si>
    <t>Egipto</t>
  </si>
  <si>
    <t>Grecia</t>
  </si>
  <si>
    <t>China</t>
  </si>
  <si>
    <t>India</t>
  </si>
  <si>
    <t>Papiro</t>
  </si>
  <si>
    <t>Filosofía</t>
  </si>
  <si>
    <t>Escrituras antiguas</t>
  </si>
  <si>
    <t>Revisados:</t>
  </si>
  <si>
    <t>Sólo no revisados</t>
  </si>
  <si>
    <t>Fallados:</t>
  </si>
  <si>
    <t>No incluir los acertados</t>
  </si>
  <si>
    <t>Todos</t>
  </si>
  <si>
    <t>REVISADOS</t>
  </si>
  <si>
    <t>FALLADOS</t>
  </si>
  <si>
    <t>Resetear estadisticas de la base de datos</t>
  </si>
  <si>
    <t>⌚</t>
  </si>
  <si>
    <t>⏱️</t>
  </si>
  <si>
    <t>Color Tiempo</t>
  </si>
  <si>
    <t>Ayuda</t>
  </si>
  <si>
    <r>
      <rPr>
        <b/>
        <sz val="8"/>
        <color theme="3"/>
        <rFont val="Segoe UI"/>
        <family val="2"/>
      </rPr>
      <t>COMENZAR</t>
    </r>
    <r>
      <rPr>
        <sz val="8"/>
        <rFont val="Segoe UI"/>
        <family val="2"/>
      </rPr>
      <t>: Comienza un examen. Los contadores y estadísticas de la página de preguntas se resetean a cero.</t>
    </r>
  </si>
  <si>
    <r>
      <rPr>
        <b/>
        <sz val="8"/>
        <color theme="3"/>
        <rFont val="Segoe UI"/>
        <family val="2"/>
      </rPr>
      <t>Continuar la sesión</t>
    </r>
    <r>
      <rPr>
        <sz val="8"/>
        <rFont val="Segoe UI"/>
        <family val="2"/>
      </rPr>
      <t>: Continua el examen por donde lo dejaste.</t>
    </r>
  </si>
  <si>
    <r>
      <rPr>
        <b/>
        <sz val="8"/>
        <color theme="3"/>
        <rFont val="Segoe UI"/>
        <family val="2"/>
      </rPr>
      <t>Revisados</t>
    </r>
    <r>
      <rPr>
        <sz val="8"/>
        <rFont val="Segoe UI"/>
        <family val="2"/>
      </rPr>
      <t>: Le indica al sistema si debe seleccionar sólo preguntas "no revisadas en este examen" o puede mostrar cualquier pregunta.</t>
    </r>
  </si>
  <si>
    <r>
      <rPr>
        <b/>
        <sz val="8"/>
        <color theme="3"/>
        <rFont val="Segoe UI"/>
        <family val="2"/>
      </rPr>
      <t>Fallados</t>
    </r>
    <r>
      <rPr>
        <sz val="8"/>
        <rFont val="Segoe UI"/>
        <family val="2"/>
      </rPr>
      <t>: Le indica al sistema si no debe seleccionar preguntas "acertadas anteriomente en este examen" o puede mostrar cualquier pregunta.</t>
    </r>
  </si>
  <si>
    <t>Acerca de…</t>
  </si>
  <si>
    <t>Licencia</t>
  </si>
  <si>
    <t>Gráficos</t>
  </si>
  <si>
    <t>Anotaciones</t>
  </si>
  <si>
    <t>Volver …</t>
  </si>
  <si>
    <t>Volver…</t>
  </si>
  <si>
    <t>Volver...</t>
  </si>
  <si>
    <t>Continentes:  América del Norte, América del Sur, Europa, Asia, África, Oceanía y Antártida.</t>
  </si>
  <si>
    <t>Instrucciones</t>
  </si>
  <si>
    <r>
      <rPr>
        <b/>
        <sz val="8"/>
        <color theme="4" tint="-0.249977111117893"/>
        <rFont val="Segoe UI"/>
        <family val="2"/>
      </rPr>
      <t>🔃</t>
    </r>
    <r>
      <rPr>
        <sz val="8"/>
        <rFont val="Segoe UI"/>
        <family val="2"/>
      </rPr>
      <t>: Refresta la pregunta de la pantalla. Ideal cuando hemos modificado algún texto en la pantalla editando directamente la BD.</t>
    </r>
  </si>
  <si>
    <r>
      <rPr>
        <b/>
        <sz val="8"/>
        <color theme="4" tint="-0.249977111117893"/>
        <rFont val="Segoe UI"/>
        <family val="2"/>
      </rPr>
      <t>▶️</t>
    </r>
    <r>
      <rPr>
        <sz val="8"/>
        <rFont val="Segoe UI"/>
        <family val="2"/>
      </rPr>
      <t>: Inicia el temporizador.</t>
    </r>
  </si>
  <si>
    <r>
      <rPr>
        <b/>
        <sz val="8"/>
        <color theme="4" tint="-0.249977111117893"/>
        <rFont val="Segoe UI"/>
        <family val="2"/>
      </rPr>
      <t>🔄</t>
    </r>
    <r>
      <rPr>
        <sz val="8"/>
        <rFont val="Segoe UI"/>
        <family val="2"/>
      </rPr>
      <t>: Reinicia el temporizador.</t>
    </r>
  </si>
  <si>
    <r>
      <rPr>
        <b/>
        <sz val="8"/>
        <color theme="4" tint="-0.249977111117893"/>
        <rFont val="Segoe UI"/>
        <family val="2"/>
      </rPr>
      <t>⏸️</t>
    </r>
    <r>
      <rPr>
        <sz val="8"/>
        <rFont val="Segoe UI"/>
        <family val="2"/>
      </rPr>
      <t>: Pausa el temporizador.</t>
    </r>
  </si>
  <si>
    <r>
      <rPr>
        <b/>
        <sz val="8"/>
        <color theme="4" tint="-0.249977111117893"/>
        <rFont val="Segoe UI"/>
        <family val="2"/>
      </rPr>
      <t>🗃️ Ver en la B.D.</t>
    </r>
    <r>
      <rPr>
        <sz val="8"/>
        <rFont val="Segoe UI"/>
        <family val="2"/>
      </rPr>
      <t>: Muestra la pregunta en la pestaña de BD. Ideal para depurar errores en el texto o añadir anotaciones en las respuestas.</t>
    </r>
  </si>
  <si>
    <r>
      <rPr>
        <b/>
        <sz val="8"/>
        <color theme="4" tint="-0.249977111117893"/>
        <rFont val="Segoe UI"/>
        <family val="2"/>
      </rPr>
      <t>A</t>
    </r>
    <r>
      <rPr>
        <sz val="8"/>
        <rFont val="Segoe UI"/>
        <family val="2"/>
      </rPr>
      <t>: Responde a la pregunta pulsando sobre el botón A o haciendo doble click en la respuesta.</t>
    </r>
  </si>
  <si>
    <r>
      <rPr>
        <b/>
        <sz val="8"/>
        <color theme="4" tint="-0.249977111117893"/>
        <rFont val="Segoe UI"/>
        <family val="2"/>
      </rPr>
      <t>B</t>
    </r>
    <r>
      <rPr>
        <sz val="8"/>
        <rFont val="Segoe UI"/>
        <family val="2"/>
      </rPr>
      <t>: Responde a la pregunta pulsando sobre el botón B o haciendo doble click en la respuesta.</t>
    </r>
  </si>
  <si>
    <r>
      <rPr>
        <b/>
        <sz val="8"/>
        <color theme="4" tint="-0.249977111117893"/>
        <rFont val="Segoe UI"/>
        <family val="2"/>
      </rPr>
      <t>C</t>
    </r>
    <r>
      <rPr>
        <sz val="8"/>
        <rFont val="Segoe UI"/>
        <family val="2"/>
      </rPr>
      <t>: Responde a la pregunta pulsando sobre el botón C o haciendo doble click en la respuesta.</t>
    </r>
  </si>
  <si>
    <r>
      <rPr>
        <b/>
        <sz val="8"/>
        <color theme="4" tint="-0.249977111117893"/>
        <rFont val="Segoe UI"/>
        <family val="2"/>
      </rPr>
      <t>D</t>
    </r>
    <r>
      <rPr>
        <sz val="8"/>
        <rFont val="Segoe UI"/>
        <family val="2"/>
      </rPr>
      <t>: Responde a la pregunta pulsando sobre el botón D o haciendo doble click en la respuesta.</t>
    </r>
  </si>
  <si>
    <r>
      <rPr>
        <b/>
        <sz val="8"/>
        <color theme="4" tint="-0.249977111117893"/>
        <rFont val="Segoe UI"/>
        <family val="2"/>
      </rPr>
      <t>Marcar para revisión</t>
    </r>
    <r>
      <rPr>
        <sz val="8"/>
        <rFont val="Segoe UI"/>
        <family val="2"/>
      </rPr>
      <t>: Marca la pregunta para revisión posterior (vuelve a preguntarla).</t>
    </r>
  </si>
  <si>
    <r>
      <rPr>
        <b/>
        <sz val="8"/>
        <color theme="4" tint="-0.249977111117893"/>
        <rFont val="Segoe UI"/>
        <family val="2"/>
      </rPr>
      <t>Siguiente &gt;&gt;</t>
    </r>
    <r>
      <rPr>
        <sz val="8"/>
        <rFont val="Segoe UI"/>
        <family val="2"/>
      </rPr>
      <t>: Muestra la siguiente pregunta. Contabiliza la respuesta. Si no se ha contestado se considera como respuesta incorrecta. Si el cronometro esta en marcha, el tiempo para la pregunta se resetea a cero.</t>
    </r>
  </si>
  <si>
    <t>​❌​
Creo que no</t>
  </si>
  <si>
    <t>⏯️ Temporizador automático.</t>
  </si>
  <si>
    <r>
      <t>Fecha de build:</t>
    </r>
    <r>
      <rPr>
        <sz val="8"/>
        <color theme="1"/>
        <rFont val="Segoe UI"/>
        <family val="2"/>
      </rPr>
      <t xml:space="preserve"> 2026‑07</t>
    </r>
  </si>
  <si>
    <t>Segundos Sesion:</t>
  </si>
  <si>
    <t>Segundos Inicio Pregunta:</t>
  </si>
  <si>
    <t>Timer:</t>
  </si>
  <si>
    <t>TIMER</t>
  </si>
  <si>
    <t>Manual</t>
  </si>
  <si>
    <t>Automático</t>
  </si>
  <si>
    <r>
      <rPr>
        <b/>
        <sz val="36"/>
        <color theme="3" tint="-0.249977111117893"/>
        <rFont val="Calibri"/>
        <family val="2"/>
        <scheme val="minor"/>
      </rPr>
      <t>Exam-</t>
    </r>
    <r>
      <rPr>
        <b/>
        <sz val="36"/>
        <color rgb="FF00642D"/>
        <rFont val="Calibri"/>
        <family val="2"/>
        <scheme val="minor"/>
      </rPr>
      <t>E</t>
    </r>
    <r>
      <rPr>
        <b/>
        <sz val="36"/>
        <color rgb="FF0070C0"/>
        <rFont val="Calibri"/>
        <family val="2"/>
        <scheme val="minor"/>
      </rPr>
      <t>x</t>
    </r>
    <r>
      <rPr>
        <b/>
        <sz val="36"/>
        <color rgb="FF00642D"/>
        <rFont val="Calibri"/>
        <family val="2"/>
        <scheme val="minor"/>
      </rPr>
      <t>cel</t>
    </r>
    <r>
      <rPr>
        <b/>
        <sz val="36"/>
        <color rgb="FF002060"/>
        <rFont val="Calibri"/>
        <family val="2"/>
        <scheme val="minor"/>
      </rPr>
      <t xml:space="preserve"> </t>
    </r>
    <r>
      <rPr>
        <b/>
        <sz val="10"/>
        <color theme="1" tint="0.249977111117893"/>
        <rFont val="Calibri"/>
        <family val="2"/>
        <scheme val="minor"/>
      </rPr>
      <t>by Naidel</t>
    </r>
  </si>
  <si>
    <t>NO</t>
  </si>
  <si>
    <r>
      <rPr>
        <b/>
        <sz val="8"/>
        <color theme="3"/>
        <rFont val="Segoe UI"/>
        <family val="2"/>
      </rPr>
      <t>Timer</t>
    </r>
    <r>
      <rPr>
        <sz val="8"/>
        <rFont val="Segoe UI"/>
        <family val="2"/>
      </rPr>
      <t>: Le indica al sistema los contadores de tiempo trabajan en modo automático o manual.</t>
    </r>
  </si>
  <si>
    <t>1.1.1</t>
  </si>
  <si>
    <t>Totales:</t>
  </si>
  <si>
    <t>Correctas:</t>
  </si>
  <si>
    <t>Incorrectas:</t>
  </si>
  <si>
    <t>Porcentaje: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</si>
</sst>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:mm:ss"/>
    <numFmt numFmtId="165" formatCode="[h]:mm:ss;@"/>
    <numFmt numFmtId="166" formatCode="[$-F400]h:mm:ss\ AM/PM"/>
  </numFmts>
  <fonts count="6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  <font>
      <u/>
      <sz val="11"/>
      <color theme="10"/>
      <name val="Calibri"/>
      <family val="2"/>
    </font>
    <font>
      <sz val="9"/>
      <color theme="1"/>
      <name val="Consolas"/>
      <family val="3"/>
    </font>
    <font>
      <b/>
      <sz val="9"/>
      <color theme="1"/>
      <name val="Consolas"/>
      <family val="3"/>
    </font>
    <font>
      <sz val="9"/>
      <name val="Consolas"/>
      <family val="3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color rgb="FF000000"/>
      <name val="Tahoma"/>
      <family val="2"/>
    </font>
    <font>
      <b/>
      <sz val="24"/>
      <color rgb="FF000000"/>
      <name val="Calibri"/>
      <family val="2"/>
    </font>
    <font>
      <sz val="8"/>
      <color theme="1"/>
      <name val="Segoe UI"/>
      <family val="2"/>
    </font>
    <font>
      <b/>
      <sz val="24"/>
      <color theme="1"/>
      <name val="Segoe UI"/>
      <family val="2"/>
    </font>
    <font>
      <b/>
      <sz val="18"/>
      <color theme="1"/>
      <name val="Segoe UI"/>
      <family val="2"/>
    </font>
    <font>
      <b/>
      <sz val="8"/>
      <color theme="1"/>
      <name val="Segoe UI"/>
      <family val="2"/>
    </font>
    <font>
      <b/>
      <sz val="13.5"/>
      <color theme="1"/>
      <name val="Segoe UI"/>
      <family val="2"/>
    </font>
    <font>
      <b/>
      <sz val="13.5"/>
      <color rgb="FF00B0F0"/>
      <name val="Segoe UI"/>
      <family val="2"/>
    </font>
    <font>
      <b/>
      <sz val="24"/>
      <color rgb="FF0070C0"/>
      <name val="Segoe UI"/>
      <family val="2"/>
    </font>
    <font>
      <b/>
      <sz val="18"/>
      <color rgb="FF0070C0"/>
      <name val="Segoe UI"/>
      <family val="2"/>
    </font>
    <font>
      <b/>
      <sz val="10"/>
      <color rgb="FF0070C0"/>
      <name val="Segoe UI"/>
      <family val="2"/>
    </font>
    <font>
      <sz val="11"/>
      <color rgb="FF0070C0"/>
      <name val="Calibri"/>
      <family val="2"/>
      <scheme val="minor"/>
    </font>
    <font>
      <sz val="8"/>
      <color rgb="FF0070C0"/>
      <name val="Segoe UI"/>
      <family val="2"/>
    </font>
    <font>
      <b/>
      <sz val="8"/>
      <color rgb="FF0070C0"/>
      <name val="Segoe UI"/>
      <family val="2"/>
    </font>
    <font>
      <b/>
      <sz val="13.5"/>
      <color rgb="FF0070C0"/>
      <name val="Segoe UI"/>
      <family val="2"/>
    </font>
    <font>
      <b/>
      <sz val="11"/>
      <name val="Calibri"/>
      <family val="2"/>
    </font>
    <font>
      <b/>
      <sz val="13.5"/>
      <color rgb="FFFF0000"/>
      <name val="Segoe UI"/>
      <family val="2"/>
    </font>
    <font>
      <b/>
      <sz val="13.5"/>
      <color theme="9"/>
      <name val="Segoe UI"/>
      <family val="2"/>
    </font>
    <font>
      <b/>
      <sz val="13.5"/>
      <color rgb="FF7030A0"/>
      <name val="Segoe UI"/>
      <family val="2"/>
    </font>
    <font>
      <u/>
      <sz val="10"/>
      <color theme="10"/>
      <name val="Calibri"/>
      <family val="2"/>
    </font>
    <font>
      <sz val="8"/>
      <color rgb="FF00B050"/>
      <name val="Segoe UI"/>
      <family val="2"/>
    </font>
    <font>
      <b/>
      <sz val="18"/>
      <color rgb="FFFF0000"/>
      <name val="Segoe UI"/>
      <family val="2"/>
    </font>
    <font>
      <b/>
      <sz val="13.5"/>
      <color rgb="FF00B050"/>
      <name val="Segoe UI"/>
      <family val="2"/>
    </font>
    <font>
      <b/>
      <sz val="18"/>
      <color rgb="FF00B050"/>
      <name val="Segoe UI"/>
      <family val="2"/>
    </font>
    <font>
      <b/>
      <sz val="24"/>
      <color rgb="FF00B050"/>
      <name val="Segoe UI"/>
      <family val="2"/>
    </font>
    <font>
      <sz val="8"/>
      <name val="Segoe UI"/>
      <family val="2"/>
    </font>
    <font>
      <b/>
      <sz val="8"/>
      <name val="Segoe UI"/>
      <family val="2"/>
    </font>
    <font>
      <i/>
      <sz val="8"/>
      <name val="Segoe UI"/>
      <family val="2"/>
    </font>
    <font>
      <sz val="8"/>
      <color theme="9"/>
      <name val="Segoe UI"/>
      <family val="2"/>
    </font>
    <font>
      <b/>
      <sz val="13.5"/>
      <color theme="5"/>
      <name val="Segoe UI"/>
      <family val="2"/>
    </font>
    <font>
      <sz val="8"/>
      <color theme="7"/>
      <name val="Segoe UI"/>
      <family val="2"/>
    </font>
    <font>
      <b/>
      <sz val="13.5"/>
      <color theme="2" tint="-0.499984740745262"/>
      <name val="Segoe UI"/>
      <family val="2"/>
    </font>
    <font>
      <b/>
      <sz val="36"/>
      <color rgb="FF002060"/>
      <name val="Calibri"/>
      <family val="2"/>
      <scheme val="minor"/>
    </font>
    <font>
      <b/>
      <sz val="36"/>
      <color rgb="FF0070C0"/>
      <name val="Calibri"/>
      <family val="2"/>
      <scheme val="minor"/>
    </font>
    <font>
      <b/>
      <sz val="36"/>
      <color theme="3" tint="-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8"/>
      <color theme="3"/>
      <name val="Segoe UI"/>
      <family val="2"/>
    </font>
    <font>
      <b/>
      <u/>
      <sz val="11"/>
      <color theme="1"/>
      <name val="Calibri"/>
      <family val="2"/>
      <scheme val="minor"/>
    </font>
    <font>
      <b/>
      <sz val="8"/>
      <color theme="4" tint="-0.249977111117893"/>
      <name val="Segoe UI"/>
      <family val="2"/>
    </font>
    <font>
      <sz val="11"/>
      <color rgb="FF004D12"/>
      <name val="Calibri"/>
      <family val="2"/>
      <scheme val="minor"/>
    </font>
    <font>
      <sz val="28"/>
      <color rgb="FF000000"/>
      <name val="Calibri"/>
      <family val="2"/>
    </font>
    <font>
      <sz val="10"/>
      <color rgb="FF000000"/>
      <name val="Calibri"/>
      <family val="2"/>
    </font>
    <font>
      <b/>
      <sz val="36"/>
      <color rgb="FF00642D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3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1" fillId="2" borderId="0" xfId="0" applyFont="1" applyFill="1"/>
    <xf numFmtId="0" fontId="0" fillId="4" borderId="0" xfId="0" applyFill="1" applyAlignment="1">
      <alignment wrapText="1"/>
    </xf>
    <xf numFmtId="0" fontId="0" fillId="8" borderId="0" xfId="0" applyFill="1"/>
    <xf numFmtId="0" fontId="0" fillId="8" borderId="0" xfId="0" applyFill="1" applyAlignment="1">
      <alignment horizontal="right" vertical="center"/>
    </xf>
    <xf numFmtId="0" fontId="4" fillId="8" borderId="0" xfId="0" applyFont="1" applyFill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9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5" borderId="0" xfId="0" applyFill="1" applyAlignment="1">
      <alignment wrapText="1"/>
    </xf>
    <xf numFmtId="0" fontId="3" fillId="8" borderId="0" xfId="0" applyFont="1" applyFill="1" applyAlignment="1">
      <alignment horizontal="right"/>
    </xf>
    <xf numFmtId="0" fontId="0" fillId="8" borderId="0" xfId="0" applyFill="1" applyAlignment="1">
      <alignment horizontal="left"/>
    </xf>
    <xf numFmtId="0" fontId="6" fillId="8" borderId="0" xfId="0" applyFont="1" applyFill="1" applyAlignment="1">
      <alignment horizontal="right"/>
    </xf>
    <xf numFmtId="0" fontId="1" fillId="2" borderId="0" xfId="0" applyFont="1" applyFill="1" applyAlignment="1">
      <alignment wrapText="1"/>
    </xf>
    <xf numFmtId="0" fontId="7" fillId="8" borderId="0" xfId="0" applyFont="1" applyFill="1" applyAlignment="1">
      <alignment horizontal="left"/>
    </xf>
    <xf numFmtId="0" fontId="8" fillId="8" borderId="0" xfId="0" applyFont="1" applyFill="1" applyAlignment="1">
      <alignment horizontal="left"/>
    </xf>
    <xf numFmtId="0" fontId="9" fillId="8" borderId="0" xfId="0" applyFont="1" applyFill="1" applyAlignment="1">
      <alignment horizontal="left"/>
    </xf>
    <xf numFmtId="10" fontId="3" fillId="8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right" vertical="center"/>
    </xf>
    <xf numFmtId="10" fontId="3" fillId="8" borderId="0" xfId="0" applyNumberFormat="1" applyFont="1" applyFill="1" applyAlignment="1">
      <alignment horizontal="center" vertical="center"/>
    </xf>
    <xf numFmtId="3" fontId="0" fillId="8" borderId="0" xfId="0" applyNumberFormat="1" applyFill="1" applyAlignment="1">
      <alignment horizontal="center" vertical="center"/>
    </xf>
    <xf numFmtId="164" fontId="10" fillId="8" borderId="0" xfId="0" applyNumberFormat="1" applyFont="1" applyFill="1"/>
    <xf numFmtId="0" fontId="0" fillId="8" borderId="0" xfId="0" applyFill="1" applyAlignment="1">
      <alignment horizontal="center"/>
    </xf>
    <xf numFmtId="0" fontId="11" fillId="8" borderId="8" xfId="0" applyFont="1" applyFill="1" applyBorder="1" applyAlignment="1">
      <alignment horizontal="center" vertical="center"/>
    </xf>
    <xf numFmtId="0" fontId="12" fillId="8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15" xfId="0" applyBorder="1" applyAlignment="1">
      <alignment vertical="top"/>
    </xf>
    <xf numFmtId="0" fontId="0" fillId="0" borderId="17" xfId="0" applyBorder="1" applyAlignment="1">
      <alignment wrapText="1"/>
    </xf>
    <xf numFmtId="0" fontId="0" fillId="0" borderId="16" xfId="0" applyBorder="1" applyAlignment="1">
      <alignment wrapText="1"/>
    </xf>
    <xf numFmtId="0" fontId="3" fillId="11" borderId="18" xfId="0" applyFont="1" applyFill="1" applyBorder="1" applyAlignment="1">
      <alignment vertical="top"/>
    </xf>
    <xf numFmtId="0" fontId="3" fillId="11" borderId="18" xfId="0" applyFont="1" applyFill="1" applyBorder="1" applyAlignment="1">
      <alignment wrapText="1"/>
    </xf>
    <xf numFmtId="0" fontId="0" fillId="0" borderId="9" xfId="0" applyBorder="1" applyAlignment="1">
      <alignment vertical="top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7" xfId="0" applyBorder="1" applyAlignment="1">
      <alignment vertical="center" wrapText="1"/>
    </xf>
    <xf numFmtId="0" fontId="0" fillId="0" borderId="10" xfId="0" applyBorder="1" applyAlignment="1">
      <alignment vertical="top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2" xfId="0" applyBorder="1" applyAlignment="1">
      <alignment vertical="center" wrapText="1"/>
    </xf>
    <xf numFmtId="3" fontId="3" fillId="8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wrapText="1"/>
    </xf>
    <xf numFmtId="49" fontId="0" fillId="10" borderId="0" xfId="0" applyNumberFormat="1" applyFill="1" applyAlignment="1">
      <alignment wrapText="1"/>
    </xf>
    <xf numFmtId="22" fontId="0" fillId="0" borderId="0" xfId="0" applyNumberFormat="1"/>
    <xf numFmtId="165" fontId="0" fillId="0" borderId="0" xfId="0" applyNumberFormat="1"/>
    <xf numFmtId="0" fontId="21" fillId="8" borderId="0" xfId="0" applyFont="1" applyFill="1" applyAlignment="1">
      <alignment horizontal="left"/>
    </xf>
    <xf numFmtId="0" fontId="22" fillId="8" borderId="0" xfId="0" applyFont="1" applyFill="1" applyAlignment="1">
      <alignment horizontal="left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0" borderId="0" xfId="0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5" fillId="0" borderId="0" xfId="0" applyFont="1" applyAlignment="1">
      <alignment horizontal="left" vertical="center" indent="1"/>
    </xf>
    <xf numFmtId="0" fontId="29" fillId="0" borderId="0" xfId="0" applyFont="1" applyAlignment="1">
      <alignment vertical="center"/>
    </xf>
    <xf numFmtId="0" fontId="28" fillId="0" borderId="0" xfId="0" applyFont="1"/>
    <xf numFmtId="0" fontId="28" fillId="0" borderId="0" xfId="0" applyFont="1" applyAlignment="1">
      <alignment horizontal="left" vertical="center" inden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4" fillId="0" borderId="0" xfId="0" applyFont="1" applyAlignment="1">
      <alignment horizontal="left" vertical="center" indent="1"/>
    </xf>
    <xf numFmtId="0" fontId="37" fillId="0" borderId="0" xfId="0" applyFont="1" applyAlignment="1">
      <alignment vertical="center"/>
    </xf>
    <xf numFmtId="0" fontId="38" fillId="0" borderId="0" xfId="0" applyFont="1"/>
    <xf numFmtId="0" fontId="28" fillId="0" borderId="0" xfId="0" applyFont="1" applyAlignment="1">
      <alignment vertical="center"/>
    </xf>
    <xf numFmtId="0" fontId="25" fillId="0" borderId="0" xfId="0" applyFont="1"/>
    <xf numFmtId="0" fontId="3" fillId="8" borderId="0" xfId="0" applyFont="1" applyFill="1"/>
    <xf numFmtId="0" fontId="42" fillId="0" borderId="0" xfId="1" applyFont="1" applyAlignment="1" applyProtection="1">
      <alignment vertical="center"/>
    </xf>
    <xf numFmtId="0" fontId="39" fillId="0" borderId="0" xfId="0" applyFont="1" applyAlignment="1">
      <alignment vertical="center"/>
    </xf>
    <xf numFmtId="0" fontId="14" fillId="0" borderId="0" xfId="1" applyAlignment="1" applyProtection="1">
      <alignment horizontal="left" vertical="center" indent="1"/>
    </xf>
    <xf numFmtId="0" fontId="14" fillId="0" borderId="0" xfId="1" applyAlignment="1" applyProtection="1"/>
    <xf numFmtId="0" fontId="48" fillId="0" borderId="0" xfId="0" applyFont="1" applyAlignment="1">
      <alignment vertical="center"/>
    </xf>
    <xf numFmtId="0" fontId="20" fillId="0" borderId="0" xfId="0" applyFont="1" applyAlignment="1">
      <alignment horizontal="left" vertical="center" indent="1"/>
    </xf>
    <xf numFmtId="0" fontId="48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50" fillId="0" borderId="0" xfId="0" applyFont="1" applyAlignment="1">
      <alignment horizontal="left" vertical="center" indent="1"/>
    </xf>
    <xf numFmtId="0" fontId="48" fillId="0" borderId="0" xfId="0" applyFont="1" applyAlignment="1">
      <alignment horizontal="left" vertical="center" indent="2"/>
    </xf>
    <xf numFmtId="0" fontId="49" fillId="0" borderId="0" xfId="0" applyFont="1" applyAlignment="1">
      <alignment horizontal="left" vertical="center" indent="1"/>
    </xf>
    <xf numFmtId="0" fontId="0" fillId="0" borderId="19" xfId="0" applyBorder="1"/>
    <xf numFmtId="0" fontId="55" fillId="8" borderId="0" xfId="0" applyFont="1" applyFill="1"/>
    <xf numFmtId="0" fontId="0" fillId="0" borderId="8" xfId="0" applyBorder="1"/>
    <xf numFmtId="0" fontId="0" fillId="0" borderId="1" xfId="0" applyBorder="1"/>
    <xf numFmtId="165" fontId="20" fillId="8" borderId="0" xfId="0" applyNumberFormat="1" applyFont="1" applyFill="1" applyAlignment="1">
      <alignment horizontal="center" vertical="center"/>
    </xf>
    <xf numFmtId="0" fontId="60" fillId="8" borderId="0" xfId="0" applyFont="1" applyFill="1" applyAlignment="1">
      <alignment horizontal="center" vertical="center"/>
    </xf>
    <xf numFmtId="0" fontId="14" fillId="8" borderId="0" xfId="1" applyFill="1" applyAlignment="1" applyProtection="1"/>
    <xf numFmtId="0" fontId="14" fillId="12" borderId="0" xfId="1" applyFill="1" applyAlignment="1" applyProtection="1"/>
    <xf numFmtId="0" fontId="14" fillId="13" borderId="0" xfId="1" applyFill="1" applyAlignment="1" applyProtection="1"/>
    <xf numFmtId="22" fontId="14" fillId="0" borderId="0" xfId="1" applyNumberFormat="1" applyAlignment="1" applyProtection="1">
      <alignment horizontal="center"/>
    </xf>
    <xf numFmtId="0" fontId="14" fillId="8" borderId="0" xfId="1" applyFill="1" applyAlignment="1" applyProtection="1">
      <alignment horizontal="right"/>
    </xf>
    <xf numFmtId="49" fontId="13" fillId="0" borderId="1" xfId="0" applyNumberFormat="1" applyFont="1" applyBorder="1" applyAlignment="1">
      <alignment horizontal="center" vertical="center" wrapText="1"/>
    </xf>
    <xf numFmtId="45" fontId="62" fillId="8" borderId="0" xfId="0" applyNumberFormat="1" applyFont="1" applyFill="1" applyAlignment="1">
      <alignment horizontal="left"/>
    </xf>
    <xf numFmtId="0" fontId="48" fillId="0" borderId="0" xfId="0" applyFont="1" applyAlignment="1">
      <alignment horizontal="left" vertical="center" wrapText="1" indent="1"/>
    </xf>
    <xf numFmtId="0" fontId="0" fillId="0" borderId="21" xfId="0" applyBorder="1"/>
    <xf numFmtId="0" fontId="48" fillId="0" borderId="0" xfId="0" applyFont="1" applyAlignment="1">
      <alignment horizontal="left" vertical="center" wrapText="1" indent="1"/>
    </xf>
    <xf numFmtId="166" fontId="20" fillId="8" borderId="0" xfId="0" applyNumberFormat="1" applyFont="1" applyFill="1" applyAlignment="1">
      <alignment horizontal="left"/>
    </xf>
    <xf numFmtId="0" fontId="3" fillId="8" borderId="0" xfId="0" quotePrefix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17" fillId="0" borderId="0" xfId="1" applyFont="1" applyAlignment="1" applyProtection="1">
      <alignment horizontal="left" vertical="top" wrapText="1"/>
    </xf>
    <xf numFmtId="49" fontId="13" fillId="15" borderId="22" xfId="0" applyNumberFormat="1" applyFont="1" applyFill="1" applyBorder="1" applyAlignment="1">
      <alignment horizontal="left" vertical="top" wrapText="1"/>
    </xf>
    <xf numFmtId="49" fontId="13" fillId="0" borderId="22" xfId="0" applyNumberFormat="1" applyFont="1" applyBorder="1" applyAlignment="1">
      <alignment horizontal="left" vertical="top" wrapText="1"/>
    </xf>
    <xf numFmtId="49" fontId="13" fillId="15" borderId="23" xfId="0" applyNumberFormat="1" applyFont="1" applyFill="1" applyBorder="1" applyAlignment="1">
      <alignment horizontal="left" vertical="top" wrapText="1"/>
    </xf>
    <xf numFmtId="49" fontId="13" fillId="0" borderId="23" xfId="0" applyNumberFormat="1" applyFont="1" applyBorder="1" applyAlignment="1">
      <alignment horizontal="left" vertical="top" wrapText="1"/>
    </xf>
    <xf numFmtId="0" fontId="14" fillId="8" borderId="0" xfId="1" applyFill="1" applyAlignment="1" applyProtection="1">
      <alignment vertical="center" textRotation="255"/>
    </xf>
    <xf numFmtId="0" fontId="16" fillId="0" borderId="20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5" fillId="0" borderId="0" xfId="0" applyFont="1" applyAlignment="1">
      <alignment vertical="top" wrapText="1"/>
    </xf>
    <xf numFmtId="0" fontId="14" fillId="8" borderId="0" xfId="1" applyFill="1" applyAlignment="1" applyProtection="1">
      <alignment textRotation="255"/>
    </xf>
    <xf numFmtId="0" fontId="48" fillId="0" borderId="0" xfId="0" applyFont="1" applyAlignment="1">
      <alignment horizontal="left" vertical="center" inden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colors>
    <mruColors>
      <color rgb="FF00642D"/>
      <color rgb="FFD086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Sesion!B4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434347</xdr:colOff>
      <xdr:row>0</xdr:row>
      <xdr:rowOff>115342</xdr:rowOff>
    </xdr:from>
    <xdr:to>
      <xdr:col>17</xdr:col>
      <xdr:colOff>439883</xdr:colOff>
      <xdr:row>2</xdr:row>
      <xdr:rowOff>70219</xdr:rowOff>
    </xdr:to>
    <xdr:pic>
      <xdr:nvPicPr>
        <xdr:cNvPr id="2059" name="Picture 11" descr="Data Science Lab | CETINIA, URJC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982077">
          <a:off x="11567167" y="115342"/>
          <a:ext cx="638003" cy="724497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3</xdr:col>
          <xdr:colOff>781050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COMENZAR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3</xdr:col>
          <xdr:colOff>781050</xdr:colOff>
          <xdr:row>8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Continuar la sesión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15240</xdr:colOff>
      <xdr:row>1</xdr:row>
      <xdr:rowOff>83820</xdr:rowOff>
    </xdr:from>
    <xdr:to>
      <xdr:col>7</xdr:col>
      <xdr:colOff>760096</xdr:colOff>
      <xdr:row>8</xdr:row>
      <xdr:rowOff>100552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9F826B2-128A-EC02-3EC3-D508BA56A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21280" y="670560"/>
          <a:ext cx="4149091" cy="12968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66675</xdr:rowOff>
        </xdr:from>
        <xdr:to>
          <xdr:col>3</xdr:col>
          <xdr:colOff>781050</xdr:colOff>
          <xdr:row>12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 Base de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9</xdr:row>
          <xdr:rowOff>9525</xdr:rowOff>
        </xdr:from>
        <xdr:to>
          <xdr:col>15</xdr:col>
          <xdr:colOff>304800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19050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9525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9525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9525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0</xdr:row>
          <xdr:rowOff>47625</xdr:rowOff>
        </xdr:from>
        <xdr:to>
          <xdr:col>16</xdr:col>
          <xdr:colOff>85725</xdr:colOff>
          <xdr:row>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🗃️ Ver en la B.D.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361950</xdr:rowOff>
        </xdr:from>
        <xdr:to>
          <xdr:col>16</xdr:col>
          <xdr:colOff>0</xdr:colOff>
          <xdr:row>9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Marcar para revisión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47625</xdr:rowOff>
        </xdr:from>
        <xdr:to>
          <xdr:col>16</xdr:col>
          <xdr:colOff>285750</xdr:colOff>
          <xdr:row>1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</xdr:row>
          <xdr:rowOff>9525</xdr:rowOff>
        </xdr:from>
        <xdr:to>
          <xdr:col>5</xdr:col>
          <xdr:colOff>114300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</xdr:row>
          <xdr:rowOff>9525</xdr:rowOff>
        </xdr:from>
        <xdr:to>
          <xdr:col>4</xdr:col>
          <xdr:colOff>657225</xdr:colOff>
          <xdr:row>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</xdr:row>
          <xdr:rowOff>9525</xdr:rowOff>
        </xdr:from>
        <xdr:to>
          <xdr:col>4</xdr:col>
          <xdr:colOff>885825</xdr:colOff>
          <xdr:row>2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⏸️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1</xdr:row>
          <xdr:rowOff>9525</xdr:rowOff>
        </xdr:from>
        <xdr:to>
          <xdr:col>4</xdr:col>
          <xdr:colOff>1095375</xdr:colOff>
          <xdr:row>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⏯️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2</xdr:row>
          <xdr:rowOff>85725</xdr:rowOff>
        </xdr:from>
        <xdr:to>
          <xdr:col>15</xdr:col>
          <xdr:colOff>819150</xdr:colOff>
          <xdr:row>2</xdr:row>
          <xdr:rowOff>866775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🧮</a:t>
              </a:r>
            </a:p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Calculadora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" name="MarcoRespuesta" hidden="1">
          <a:extLst>
            <a:ext uri="{FF2B5EF4-FFF2-40B4-BE49-F238E27FC236}">
              <a16:creationId xmlns:a16="http://schemas.microsoft.com/office/drawing/2014/main" id="{CD455AAC-9117-D982-238C-10DEA23DD3A0}"/>
            </a:ext>
          </a:extLst>
        </xdr:cNvPr>
        <xdr:cNvSpPr/>
      </xdr:nvSpPr>
      <xdr:spPr>
        <a:xfrm>
          <a:off x="447675" y="3190875"/>
          <a:ext cx="8467725" cy="552450"/>
        </a:xfrm>
        <a:prstGeom prst="rect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</xdr:row>
      <xdr:rowOff>104775</xdr:rowOff>
    </xdr:from>
    <xdr:to>
      <xdr:col>6</xdr:col>
      <xdr:colOff>576358</xdr:colOff>
      <xdr:row>15</xdr:row>
      <xdr:rowOff>38100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D159D9-5198-5AB3-8CF2-D9871ADB7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5275"/>
          <a:ext cx="5043583" cy="2600325"/>
        </a:xfrm>
        <a:prstGeom prst="rect">
          <a:avLst/>
        </a:prstGeom>
      </xdr:spPr>
    </xdr:pic>
    <xdr:clientData/>
  </xdr:twoCellAnchor>
  <xdr:twoCellAnchor editAs="oneCell">
    <xdr:from>
      <xdr:col>7</xdr:col>
      <xdr:colOff>99060</xdr:colOff>
      <xdr:row>1</xdr:row>
      <xdr:rowOff>106680</xdr:rowOff>
    </xdr:from>
    <xdr:to>
      <xdr:col>12</xdr:col>
      <xdr:colOff>210878</xdr:colOff>
      <xdr:row>13</xdr:row>
      <xdr:rowOff>106480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6ECE099-D416-437D-B6D8-679D2D9DD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46420" y="289560"/>
          <a:ext cx="4074218" cy="21943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3C7BEE84-573F-4833-A027-777A4CF56170}" userId="S::191385@office365proplus.co::01d3c2dc-e156-41f9-9690-6a7f33971b1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6-04-16T17:10:27.90" personId="{3C7BEE84-573F-4833-A027-777A4CF56170}" id="{58A7F3AF-E1C3-481A-AA76-43D88A20F4C7}">
    <text>Los nombre de las columnas de la base de datos son opcionales, se pueden cambiar según la necesidad del estudiante.
Número de la Unidad o tema</text>
  </threadedComment>
  <threadedComment ref="B1" dT="2026-04-16T17:12:28.03" personId="{3C7BEE84-573F-4833-A027-777A4CF56170}" id="{8A6F87B9-B332-417A-8B35-6CC968CED0BA}">
    <text xml:space="preserve">Los nombre de las columnas de la base de datos son opcionales, se pueden cambiar según la necesidad del estudiante.
Ejemplos de uso:
 - Nombre de la unidad o tema
 - URL de internet donde se ha sacado la pregunta.
</text>
  </threadedComment>
  <threadedComment ref="C1" dT="2026-04-16T17:15:40.23" personId="{3C7BEE84-573F-4833-A027-777A4CF56170}" id="{A411FCD0-31CD-4C03-A070-ABE9E6012A5F}">
    <text xml:space="preserve">Los nombre de las columnas de la base de datos son opcionales, se pueden cambiar según la necesidad del estudiante.
Ejemplos de uso:
- Tipo de pregunta
- Subtema
- Origen de la pregunta
</text>
  </threadedComment>
  <threadedComment ref="D1" dT="2026-04-16T17:18:16.55" personId="{3C7BEE84-573F-4833-A027-777A4CF56170}" id="{416774ED-B1C2-49D7-881C-DDD9FAFE185A}">
    <text>Texto de la pregunta.</text>
  </threadedComment>
  <threadedComment ref="E1" dT="2026-04-16T17:18:36.74" personId="{3C7BEE84-573F-4833-A027-777A4CF56170}" id="{451776EF-265C-46A9-961B-9A0A884F72D5}">
    <text>Opción de respuesta A</text>
  </threadedComment>
  <threadedComment ref="F1" dT="2026-04-16T17:18:44.59" personId="{3C7BEE84-573F-4833-A027-777A4CF56170}" id="{87CDC586-52B1-49D9-806C-FA34CB7F0800}">
    <text>Opción de respuesta B</text>
  </threadedComment>
  <threadedComment ref="G1" dT="2026-04-16T17:18:51.83" personId="{3C7BEE84-573F-4833-A027-777A4CF56170}" id="{FB8EE3F8-B321-4C72-87F3-DC7304BC4C65}">
    <text>Opción de respuesta C</text>
  </threadedComment>
  <threadedComment ref="H1" dT="2026-04-16T17:19:05.46" personId="{3C7BEE84-573F-4833-A027-777A4CF56170}" id="{92A08EDB-8288-4942-A377-98865ABA8F08}">
    <text>Opción de respuesta D</text>
  </threadedComment>
  <threadedComment ref="I1" dT="2026-04-16T17:19:28.27" personId="{3C7BEE84-573F-4833-A027-777A4CF56170}" id="{5170B1D9-1751-4909-B2AD-7FFDD6EB9DC1}">
    <text>Retroalimentación de la respuesta A</text>
  </threadedComment>
  <threadedComment ref="J1" dT="2026-04-16T17:19:35.85" personId="{3C7BEE84-573F-4833-A027-777A4CF56170}" id="{08506CAC-F00C-47D4-99E4-DA5A413C181E}">
    <text>Retroalimentación de la respuesta B</text>
  </threadedComment>
  <threadedComment ref="K1" dT="2026-04-16T17:19:45.87" personId="{3C7BEE84-573F-4833-A027-777A4CF56170}" id="{8A8DBDC4-C05B-4EAE-8592-577AC5E02145}">
    <text>Retroalimentación de la respuesta C</text>
  </threadedComment>
  <threadedComment ref="L1" dT="2026-04-16T17:20:09.96" personId="{3C7BEE84-573F-4833-A027-777A4CF56170}" id="{52A56CA0-42DC-4D2C-B271-FEAFB459A95A}">
    <text>Retroalimentación de la respuesta D</text>
  </threadedComment>
  <threadedComment ref="M1" dT="2026-04-16T17:20:26.12" personId="{3C7BEE84-573F-4833-A027-777A4CF56170}" id="{B5BBB2D6-C314-4B5E-ACC4-4A343F39E092}">
    <text>Respuesta correcta</text>
  </threadedComment>
  <threadedComment ref="N1" dT="2026-04-16T17:22:02.98" personId="{3C7BEE84-573F-4833-A027-777A4CF56170}" id="{7B366D0F-4F8A-4B6E-B45F-FEC7FBD8ED65}">
    <text>0 - La pregunta no se ha contestado aún en el examen.
1 - La pregunta ya ha sido respondida en el examen (aunque fuera respondida de forma incorrecta).</text>
  </threadedComment>
  <threadedComment ref="O1" dT="2026-04-16T17:23:22.24" personId="{3C7BEE84-573F-4833-A027-777A4CF56170}" id="{0E815CDF-06B0-480B-8BD6-658AC0F1AD72}">
    <text>Si la pregunta ya se ha visto en el examen:
0 - La respuesta fue incorrecta.
1 - La respuesta fue correcta.</text>
  </threadedComment>
  <threadedComment ref="P1" dT="2026-04-16T17:23:58.05" personId="{3C7BEE84-573F-4833-A027-777A4CF56170}" id="{C478B08C-CDC4-40BE-B141-CC9E309DE9FD}">
    <text xml:space="preserve">0 - La pregunta no esta marcada para revisión.
1 - La pregunta ya ha sido marcada para revisión.
</text>
  </threadedComment>
  <threadedComment ref="Q1" dT="2026-04-16T17:25:44.31" personId="{3C7BEE84-573F-4833-A027-777A4CF56170}" id="{81F27560-4686-402E-B5DA-69D4EE198210}">
    <text>Información adicional que se quiere mostrar con la respuesta.
A mi me gusta transcribir aquí el texto del manual de referencia donde se puede encontrar la respuesta correcta.
También cualquier otra cuestión que aclare la respuesta o que deba estudiarse mas detenidamente.</text>
  </threadedComment>
  <threadedComment ref="R1" dT="2026-04-16T17:27:46.46" personId="{3C7BEE84-573F-4833-A027-777A4CF56170}" id="{6300D149-E69F-4D1A-B0CB-2C3F4C1FE2D9}">
    <text>Un campo adicional para filtrar. En mi caso, puedo haber sacado preguntas de distintos sitios, foros, libros, webs. En todo caso, si la respuesta es dudosa, puedo poner aquí una marca y filtrar para que no aparezca en los exámenes.</text>
  </threadedComment>
  <threadedComment ref="S1" dT="2026-04-16T17:28:23.16" personId="{3C7BEE84-573F-4833-A027-777A4CF56170}" id="{FF5C8A3C-937A-456C-8EA7-451A855815B5}">
    <text>Estadístico: Número de veces que he contestado a esta pregunta de forma correcta.</text>
  </threadedComment>
  <threadedComment ref="T1" dT="2026-04-16T17:29:01.34" personId="{3C7BEE84-573F-4833-A027-777A4CF56170}" id="{EFF4A283-F644-4DFD-A94B-DE574452C10F}">
    <text>Estadístico: Número de veces que he contestado a esta pregunta de forma incorrecta. 
Puede ayudar a encontrar áreas que necesitan repasarse más profundamente.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aypal.me/atmarque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tmarquez/exam-excel" TargetMode="External"/><Relationship Id="rId7" Type="http://schemas.openxmlformats.org/officeDocument/2006/relationships/hyperlink" Target="https://paypal.me/atmarquez" TargetMode="External"/><Relationship Id="rId2" Type="http://schemas.openxmlformats.org/officeDocument/2006/relationships/hyperlink" Target="https://atmarquez.github.io/exam-excel/" TargetMode="External"/><Relationship Id="rId1" Type="http://schemas.openxmlformats.org/officeDocument/2006/relationships/hyperlink" Target="mailto:atmarquez@gmail.com" TargetMode="External"/><Relationship Id="rId6" Type="http://schemas.openxmlformats.org/officeDocument/2006/relationships/hyperlink" Target="https://www.gnu.org/licenses/gpl-3.0.html" TargetMode="External"/><Relationship Id="rId5" Type="http://schemas.openxmlformats.org/officeDocument/2006/relationships/hyperlink" Target="https://github.com/atmarquez/exam-excel/wiki" TargetMode="External"/><Relationship Id="rId4" Type="http://schemas.openxmlformats.org/officeDocument/2006/relationships/hyperlink" Target="https://github.com/atmarquez/exam-excel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F2D0-3EB8-491E-9704-0570BC3D7624}">
  <sheetPr codeName="Hoja5"/>
  <dimension ref="A1:A231"/>
  <sheetViews>
    <sheetView workbookViewId="0">
      <selection activeCell="A11" sqref="A11"/>
    </sheetView>
  </sheetViews>
  <sheetFormatPr baseColWidth="10" defaultRowHeight="15" x14ac:dyDescent="0.25"/>
  <sheetData>
    <row r="1" spans="1:1" ht="37.5" x14ac:dyDescent="0.25">
      <c r="A1" s="71" t="s">
        <v>800</v>
      </c>
    </row>
    <row r="2" spans="1:1" ht="26.25" x14ac:dyDescent="0.25">
      <c r="A2" s="72" t="s">
        <v>99</v>
      </c>
    </row>
    <row r="3" spans="1:1" x14ac:dyDescent="0.25">
      <c r="A3" s="73" t="s">
        <v>176</v>
      </c>
    </row>
    <row r="4" spans="1:1" x14ac:dyDescent="0.25">
      <c r="A4" s="74"/>
    </row>
    <row r="5" spans="1:1" x14ac:dyDescent="0.25">
      <c r="A5" s="75"/>
    </row>
    <row r="6" spans="1:1" ht="26.25" x14ac:dyDescent="0.25">
      <c r="A6" s="72" t="s">
        <v>801</v>
      </c>
    </row>
    <row r="7" spans="1:1" x14ac:dyDescent="0.25">
      <c r="A7" s="75"/>
    </row>
    <row r="8" spans="1:1" x14ac:dyDescent="0.25">
      <c r="A8" s="87" t="s">
        <v>811</v>
      </c>
    </row>
    <row r="9" spans="1:1" x14ac:dyDescent="0.25">
      <c r="A9" s="88"/>
    </row>
    <row r="10" spans="1:1" x14ac:dyDescent="0.25">
      <c r="A10" s="89" t="s">
        <v>100</v>
      </c>
    </row>
    <row r="11" spans="1:1" x14ac:dyDescent="0.25">
      <c r="A11" s="89" t="s">
        <v>101</v>
      </c>
    </row>
    <row r="12" spans="1:1" x14ac:dyDescent="0.25">
      <c r="A12" s="89" t="s">
        <v>102</v>
      </c>
    </row>
    <row r="13" spans="1:1" x14ac:dyDescent="0.25">
      <c r="A13" s="89" t="s">
        <v>103</v>
      </c>
    </row>
    <row r="14" spans="1:1" x14ac:dyDescent="0.25">
      <c r="A14" s="90"/>
    </row>
    <row r="15" spans="1:1" x14ac:dyDescent="0.25">
      <c r="A15" s="87" t="s">
        <v>812</v>
      </c>
    </row>
    <row r="16" spans="1:1" x14ac:dyDescent="0.25">
      <c r="A16" s="75"/>
    </row>
    <row r="17" spans="1:1" x14ac:dyDescent="0.25">
      <c r="A17" s="74"/>
    </row>
    <row r="18" spans="1:1" x14ac:dyDescent="0.25">
      <c r="A18" s="75"/>
    </row>
    <row r="19" spans="1:1" ht="26.25" x14ac:dyDescent="0.25">
      <c r="A19" s="72" t="s">
        <v>802</v>
      </c>
    </row>
    <row r="20" spans="1:1" x14ac:dyDescent="0.25">
      <c r="A20" s="75"/>
    </row>
    <row r="21" spans="1:1" x14ac:dyDescent="0.25">
      <c r="A21" s="87" t="s">
        <v>104</v>
      </c>
    </row>
    <row r="22" spans="1:1" x14ac:dyDescent="0.25">
      <c r="A22" s="75"/>
    </row>
    <row r="23" spans="1:1" ht="21" x14ac:dyDescent="0.25">
      <c r="A23" s="78" t="s">
        <v>829</v>
      </c>
    </row>
    <row r="24" spans="1:1" x14ac:dyDescent="0.25">
      <c r="A24" s="75"/>
    </row>
    <row r="25" spans="1:1" x14ac:dyDescent="0.25">
      <c r="A25" s="87" t="s">
        <v>105</v>
      </c>
    </row>
    <row r="26" spans="1:1" x14ac:dyDescent="0.25">
      <c r="A26" s="88"/>
    </row>
    <row r="27" spans="1:1" x14ac:dyDescent="0.25">
      <c r="A27" s="89" t="s">
        <v>106</v>
      </c>
    </row>
    <row r="28" spans="1:1" x14ac:dyDescent="0.25">
      <c r="A28" s="89" t="s">
        <v>107</v>
      </c>
    </row>
    <row r="29" spans="1:1" x14ac:dyDescent="0.25">
      <c r="A29" s="89" t="s">
        <v>1031</v>
      </c>
    </row>
    <row r="30" spans="1:1" x14ac:dyDescent="0.25">
      <c r="A30" s="74"/>
    </row>
    <row r="31" spans="1:1" x14ac:dyDescent="0.25">
      <c r="A31" s="75"/>
    </row>
    <row r="32" spans="1:1" ht="21" x14ac:dyDescent="0.25">
      <c r="A32" s="78" t="s">
        <v>830</v>
      </c>
    </row>
    <row r="33" spans="1:1" x14ac:dyDescent="0.25">
      <c r="A33" s="75"/>
    </row>
    <row r="34" spans="1:1" x14ac:dyDescent="0.25">
      <c r="A34" s="87" t="s">
        <v>108</v>
      </c>
    </row>
    <row r="35" spans="1:1" x14ac:dyDescent="0.25">
      <c r="A35" s="88"/>
    </row>
    <row r="36" spans="1:1" x14ac:dyDescent="0.25">
      <c r="A36" s="89" t="s">
        <v>109</v>
      </c>
    </row>
    <row r="37" spans="1:1" x14ac:dyDescent="0.25">
      <c r="A37" s="89" t="s">
        <v>110</v>
      </c>
    </row>
    <row r="38" spans="1:1" x14ac:dyDescent="0.25">
      <c r="A38" s="89" t="s">
        <v>111</v>
      </c>
    </row>
    <row r="39" spans="1:1" x14ac:dyDescent="0.25">
      <c r="A39" s="89" t="s">
        <v>112</v>
      </c>
    </row>
    <row r="40" spans="1:1" x14ac:dyDescent="0.25">
      <c r="A40" s="90"/>
    </row>
    <row r="41" spans="1:1" x14ac:dyDescent="0.25">
      <c r="A41" s="87" t="s">
        <v>835</v>
      </c>
    </row>
    <row r="42" spans="1:1" x14ac:dyDescent="0.25">
      <c r="A42" s="75"/>
    </row>
    <row r="43" spans="1:1" x14ac:dyDescent="0.25">
      <c r="A43" s="74"/>
    </row>
    <row r="44" spans="1:1" x14ac:dyDescent="0.25">
      <c r="A44" s="75"/>
    </row>
    <row r="45" spans="1:1" ht="21" x14ac:dyDescent="0.25">
      <c r="A45" s="78" t="s">
        <v>831</v>
      </c>
    </row>
    <row r="46" spans="1:1" x14ac:dyDescent="0.25">
      <c r="A46" s="75"/>
    </row>
    <row r="47" spans="1:1" x14ac:dyDescent="0.25">
      <c r="A47" s="87" t="s">
        <v>113</v>
      </c>
    </row>
    <row r="48" spans="1:1" x14ac:dyDescent="0.25">
      <c r="A48" s="90"/>
    </row>
    <row r="49" spans="1:1" x14ac:dyDescent="0.25">
      <c r="A49" s="87" t="s">
        <v>114</v>
      </c>
    </row>
    <row r="50" spans="1:1" x14ac:dyDescent="0.25">
      <c r="A50" s="88"/>
    </row>
    <row r="51" spans="1:1" x14ac:dyDescent="0.25">
      <c r="A51" s="89" t="s">
        <v>115</v>
      </c>
    </row>
    <row r="52" spans="1:1" x14ac:dyDescent="0.25">
      <c r="A52" s="89" t="s">
        <v>116</v>
      </c>
    </row>
    <row r="53" spans="1:1" x14ac:dyDescent="0.25">
      <c r="A53" s="89" t="s">
        <v>117</v>
      </c>
    </row>
    <row r="54" spans="1:1" x14ac:dyDescent="0.25">
      <c r="A54" s="89" t="s">
        <v>118</v>
      </c>
    </row>
    <row r="55" spans="1:1" x14ac:dyDescent="0.25">
      <c r="A55" s="89" t="s">
        <v>119</v>
      </c>
    </row>
    <row r="56" spans="1:1" x14ac:dyDescent="0.25">
      <c r="A56" s="90"/>
    </row>
    <row r="57" spans="1:1" x14ac:dyDescent="0.25">
      <c r="A57" s="87" t="s">
        <v>836</v>
      </c>
    </row>
    <row r="58" spans="1:1" x14ac:dyDescent="0.25">
      <c r="A58" s="90"/>
    </row>
    <row r="59" spans="1:1" x14ac:dyDescent="0.25">
      <c r="A59" s="74"/>
    </row>
    <row r="60" spans="1:1" x14ac:dyDescent="0.25">
      <c r="A60" s="75"/>
    </row>
    <row r="61" spans="1:1" ht="21" x14ac:dyDescent="0.25">
      <c r="A61" s="78" t="s">
        <v>832</v>
      </c>
    </row>
    <row r="62" spans="1:1" x14ac:dyDescent="0.25">
      <c r="A62" s="75"/>
    </row>
    <row r="63" spans="1:1" x14ac:dyDescent="0.25">
      <c r="A63" s="87" t="s">
        <v>120</v>
      </c>
    </row>
    <row r="64" spans="1:1" x14ac:dyDescent="0.25">
      <c r="A64" s="90"/>
    </row>
    <row r="65" spans="1:1" x14ac:dyDescent="0.25">
      <c r="A65" s="87" t="s">
        <v>121</v>
      </c>
    </row>
    <row r="66" spans="1:1" x14ac:dyDescent="0.25">
      <c r="A66" s="88"/>
    </row>
    <row r="67" spans="1:1" x14ac:dyDescent="0.25">
      <c r="A67" s="89" t="s">
        <v>122</v>
      </c>
    </row>
    <row r="68" spans="1:1" x14ac:dyDescent="0.25">
      <c r="A68" s="89" t="s">
        <v>123</v>
      </c>
    </row>
    <row r="69" spans="1:1" x14ac:dyDescent="0.25">
      <c r="A69" s="89" t="s">
        <v>124</v>
      </c>
    </row>
    <row r="70" spans="1:1" x14ac:dyDescent="0.25">
      <c r="A70" s="89" t="s">
        <v>125</v>
      </c>
    </row>
    <row r="71" spans="1:1" x14ac:dyDescent="0.25">
      <c r="A71" s="90"/>
    </row>
    <row r="72" spans="1:1" x14ac:dyDescent="0.25">
      <c r="A72" s="87" t="s">
        <v>837</v>
      </c>
    </row>
    <row r="73" spans="1:1" x14ac:dyDescent="0.25">
      <c r="A73" s="75"/>
    </row>
    <row r="74" spans="1:1" x14ac:dyDescent="0.25">
      <c r="A74" s="74"/>
    </row>
    <row r="75" spans="1:1" x14ac:dyDescent="0.25">
      <c r="A75" s="75"/>
    </row>
    <row r="76" spans="1:1" ht="21" x14ac:dyDescent="0.25">
      <c r="A76" s="78" t="s">
        <v>833</v>
      </c>
    </row>
    <row r="77" spans="1:1" x14ac:dyDescent="0.25">
      <c r="A77" s="75"/>
    </row>
    <row r="78" spans="1:1" x14ac:dyDescent="0.25">
      <c r="A78" s="87" t="s">
        <v>126</v>
      </c>
    </row>
    <row r="79" spans="1:1" x14ac:dyDescent="0.25">
      <c r="A79" s="90"/>
    </row>
    <row r="80" spans="1:1" x14ac:dyDescent="0.25">
      <c r="A80" s="87" t="s">
        <v>127</v>
      </c>
    </row>
    <row r="81" spans="1:1" x14ac:dyDescent="0.25">
      <c r="A81" s="88"/>
    </row>
    <row r="82" spans="1:1" x14ac:dyDescent="0.25">
      <c r="A82" s="89" t="s">
        <v>28</v>
      </c>
    </row>
    <row r="83" spans="1:1" x14ac:dyDescent="0.25">
      <c r="A83" s="89" t="s">
        <v>29</v>
      </c>
    </row>
    <row r="84" spans="1:1" x14ac:dyDescent="0.25">
      <c r="A84" s="89" t="s">
        <v>128</v>
      </c>
    </row>
    <row r="85" spans="1:1" x14ac:dyDescent="0.25">
      <c r="A85" s="75"/>
    </row>
    <row r="86" spans="1:1" x14ac:dyDescent="0.25">
      <c r="A86" s="74"/>
    </row>
    <row r="87" spans="1:1" x14ac:dyDescent="0.25">
      <c r="A87" s="75"/>
    </row>
    <row r="88" spans="1:1" ht="21" x14ac:dyDescent="0.25">
      <c r="A88" s="78" t="s">
        <v>834</v>
      </c>
    </row>
    <row r="89" spans="1:1" x14ac:dyDescent="0.25">
      <c r="A89" s="75"/>
    </row>
    <row r="90" spans="1:1" x14ac:dyDescent="0.25">
      <c r="A90" s="87" t="s">
        <v>129</v>
      </c>
    </row>
    <row r="91" spans="1:1" x14ac:dyDescent="0.25">
      <c r="A91" s="88"/>
    </row>
    <row r="92" spans="1:1" x14ac:dyDescent="0.25">
      <c r="A92" s="91" t="s">
        <v>130</v>
      </c>
    </row>
    <row r="93" spans="1:1" x14ac:dyDescent="0.25">
      <c r="A93" s="75"/>
    </row>
    <row r="94" spans="1:1" x14ac:dyDescent="0.25">
      <c r="A94" s="74"/>
    </row>
    <row r="95" spans="1:1" x14ac:dyDescent="0.25">
      <c r="A95" s="75"/>
    </row>
    <row r="96" spans="1:1" ht="26.25" x14ac:dyDescent="0.25">
      <c r="A96" s="72" t="s">
        <v>803</v>
      </c>
    </row>
    <row r="97" spans="1:1" x14ac:dyDescent="0.25">
      <c r="A97" s="75"/>
    </row>
    <row r="98" spans="1:1" ht="21" x14ac:dyDescent="0.25">
      <c r="A98" s="78" t="s">
        <v>131</v>
      </c>
    </row>
    <row r="99" spans="1:1" x14ac:dyDescent="0.25">
      <c r="A99" s="77"/>
    </row>
    <row r="100" spans="1:1" x14ac:dyDescent="0.25">
      <c r="A100" s="89" t="s">
        <v>813</v>
      </c>
    </row>
    <row r="101" spans="1:1" x14ac:dyDescent="0.25">
      <c r="A101" s="89" t="s">
        <v>814</v>
      </c>
    </row>
    <row r="102" spans="1:1" x14ac:dyDescent="0.25">
      <c r="A102" s="89" t="s">
        <v>132</v>
      </c>
    </row>
    <row r="103" spans="1:1" x14ac:dyDescent="0.25">
      <c r="A103" s="75"/>
    </row>
    <row r="104" spans="1:1" x14ac:dyDescent="0.25">
      <c r="A104" s="74"/>
    </row>
    <row r="105" spans="1:1" x14ac:dyDescent="0.25">
      <c r="A105" s="75"/>
    </row>
    <row r="106" spans="1:1" ht="21" x14ac:dyDescent="0.25">
      <c r="A106" s="78" t="s">
        <v>840</v>
      </c>
    </row>
    <row r="107" spans="1:1" x14ac:dyDescent="0.25">
      <c r="A107" s="77"/>
    </row>
    <row r="108" spans="1:1" x14ac:dyDescent="0.25">
      <c r="A108" s="89" t="s">
        <v>815</v>
      </c>
    </row>
    <row r="109" spans="1:1" x14ac:dyDescent="0.25">
      <c r="A109" s="89" t="s">
        <v>133</v>
      </c>
    </row>
    <row r="110" spans="1:1" x14ac:dyDescent="0.25">
      <c r="A110" s="92" t="s">
        <v>134</v>
      </c>
    </row>
    <row r="111" spans="1:1" x14ac:dyDescent="0.25">
      <c r="A111" s="92" t="s">
        <v>135</v>
      </c>
    </row>
    <row r="112" spans="1:1" x14ac:dyDescent="0.25">
      <c r="A112" s="92" t="s">
        <v>136</v>
      </c>
    </row>
    <row r="113" spans="1:1" x14ac:dyDescent="0.25">
      <c r="A113" s="75"/>
    </row>
    <row r="114" spans="1:1" x14ac:dyDescent="0.25">
      <c r="A114" s="74"/>
    </row>
    <row r="115" spans="1:1" x14ac:dyDescent="0.25">
      <c r="A115" s="75"/>
    </row>
    <row r="116" spans="1:1" ht="21" x14ac:dyDescent="0.25">
      <c r="A116" s="78" t="s">
        <v>842</v>
      </c>
    </row>
    <row r="117" spans="1:1" x14ac:dyDescent="0.25">
      <c r="A117" s="77"/>
    </row>
    <row r="118" spans="1:1" x14ac:dyDescent="0.25">
      <c r="A118" s="89" t="s">
        <v>816</v>
      </c>
    </row>
    <row r="119" spans="1:1" x14ac:dyDescent="0.25">
      <c r="A119" s="89" t="s">
        <v>133</v>
      </c>
    </row>
    <row r="120" spans="1:1" x14ac:dyDescent="0.25">
      <c r="A120" s="92" t="s">
        <v>137</v>
      </c>
    </row>
    <row r="121" spans="1:1" x14ac:dyDescent="0.25">
      <c r="A121" s="92" t="s">
        <v>138</v>
      </c>
    </row>
    <row r="122" spans="1:1" x14ac:dyDescent="0.25">
      <c r="A122" s="92" t="s">
        <v>139</v>
      </c>
    </row>
    <row r="123" spans="1:1" x14ac:dyDescent="0.25">
      <c r="A123" s="75"/>
    </row>
    <row r="124" spans="1:1" x14ac:dyDescent="0.25">
      <c r="A124" s="74"/>
    </row>
    <row r="125" spans="1:1" x14ac:dyDescent="0.25">
      <c r="A125" s="75"/>
    </row>
    <row r="126" spans="1:1" ht="21" x14ac:dyDescent="0.25">
      <c r="A126" s="78" t="s">
        <v>841</v>
      </c>
    </row>
    <row r="127" spans="1:1" x14ac:dyDescent="0.25">
      <c r="A127" s="77"/>
    </row>
    <row r="128" spans="1:1" x14ac:dyDescent="0.25">
      <c r="A128" s="89" t="s">
        <v>817</v>
      </c>
    </row>
    <row r="129" spans="1:1" x14ac:dyDescent="0.25">
      <c r="A129" s="89" t="s">
        <v>140</v>
      </c>
    </row>
    <row r="130" spans="1:1" x14ac:dyDescent="0.25">
      <c r="A130" s="75"/>
    </row>
    <row r="131" spans="1:1" x14ac:dyDescent="0.25">
      <c r="A131" s="74"/>
    </row>
    <row r="132" spans="1:1" x14ac:dyDescent="0.25">
      <c r="A132" s="75"/>
    </row>
    <row r="133" spans="1:1" ht="26.25" x14ac:dyDescent="0.25">
      <c r="A133" s="72" t="s">
        <v>804</v>
      </c>
    </row>
    <row r="134" spans="1:1" x14ac:dyDescent="0.25">
      <c r="A134" s="75"/>
    </row>
    <row r="135" spans="1:1" x14ac:dyDescent="0.25">
      <c r="A135" s="87" t="s">
        <v>141</v>
      </c>
    </row>
    <row r="136" spans="1:1" x14ac:dyDescent="0.25">
      <c r="A136" s="88"/>
    </row>
    <row r="137" spans="1:1" x14ac:dyDescent="0.25">
      <c r="A137" s="93" t="s">
        <v>818</v>
      </c>
    </row>
    <row r="138" spans="1:1" x14ac:dyDescent="0.25">
      <c r="A138" s="93" t="s">
        <v>819</v>
      </c>
    </row>
    <row r="139" spans="1:1" x14ac:dyDescent="0.25">
      <c r="A139" s="93" t="s">
        <v>820</v>
      </c>
    </row>
    <row r="140" spans="1:1" x14ac:dyDescent="0.25">
      <c r="A140" s="93" t="s">
        <v>821</v>
      </c>
    </row>
    <row r="141" spans="1:1" x14ac:dyDescent="0.25">
      <c r="A141" s="93" t="s">
        <v>822</v>
      </c>
    </row>
    <row r="142" spans="1:1" x14ac:dyDescent="0.25">
      <c r="A142" s="75"/>
    </row>
    <row r="143" spans="1:1" x14ac:dyDescent="0.25">
      <c r="A143" s="74"/>
    </row>
    <row r="144" spans="1:1" x14ac:dyDescent="0.25">
      <c r="A144" s="75"/>
    </row>
    <row r="145" spans="1:1" ht="26.25" x14ac:dyDescent="0.25">
      <c r="A145" s="72" t="s">
        <v>805</v>
      </c>
    </row>
    <row r="146" spans="1:1" x14ac:dyDescent="0.25">
      <c r="A146" s="75"/>
    </row>
    <row r="147" spans="1:1" x14ac:dyDescent="0.25">
      <c r="A147" s="87" t="s">
        <v>823</v>
      </c>
    </row>
    <row r="148" spans="1:1" x14ac:dyDescent="0.25">
      <c r="A148" s="88"/>
    </row>
    <row r="149" spans="1:1" x14ac:dyDescent="0.25">
      <c r="A149" s="89" t="s">
        <v>142</v>
      </c>
    </row>
    <row r="150" spans="1:1" x14ac:dyDescent="0.25">
      <c r="A150" s="89" t="s">
        <v>143</v>
      </c>
    </row>
    <row r="151" spans="1:1" x14ac:dyDescent="0.25">
      <c r="A151" s="89" t="s">
        <v>144</v>
      </c>
    </row>
    <row r="152" spans="1:1" x14ac:dyDescent="0.25">
      <c r="A152" s="75"/>
    </row>
    <row r="153" spans="1:1" x14ac:dyDescent="0.25">
      <c r="A153" s="74"/>
    </row>
    <row r="154" spans="1:1" x14ac:dyDescent="0.25">
      <c r="A154" s="75"/>
    </row>
    <row r="155" spans="1:1" ht="26.25" x14ac:dyDescent="0.25">
      <c r="A155" s="72" t="s">
        <v>806</v>
      </c>
    </row>
    <row r="156" spans="1:1" x14ac:dyDescent="0.25">
      <c r="A156" s="75"/>
    </row>
    <row r="157" spans="1:1" ht="21" x14ac:dyDescent="0.25">
      <c r="A157" s="78" t="s">
        <v>838</v>
      </c>
    </row>
    <row r="158" spans="1:1" x14ac:dyDescent="0.25">
      <c r="A158" s="75"/>
    </row>
    <row r="159" spans="1:1" x14ac:dyDescent="0.25">
      <c r="A159" s="87" t="s">
        <v>824</v>
      </c>
    </row>
    <row r="160" spans="1:1" x14ac:dyDescent="0.25">
      <c r="A160" s="88"/>
    </row>
    <row r="161" spans="1:1" x14ac:dyDescent="0.25">
      <c r="A161" s="89" t="s">
        <v>145</v>
      </c>
    </row>
    <row r="162" spans="1:1" x14ac:dyDescent="0.25">
      <c r="A162" s="89" t="s">
        <v>146</v>
      </c>
    </row>
    <row r="163" spans="1:1" x14ac:dyDescent="0.25">
      <c r="A163" s="89" t="s">
        <v>147</v>
      </c>
    </row>
    <row r="164" spans="1:1" x14ac:dyDescent="0.25">
      <c r="A164" s="90"/>
    </row>
    <row r="165" spans="1:1" x14ac:dyDescent="0.25">
      <c r="A165" s="74"/>
    </row>
    <row r="166" spans="1:1" x14ac:dyDescent="0.25">
      <c r="A166" s="75"/>
    </row>
    <row r="167" spans="1:1" ht="21" x14ac:dyDescent="0.25">
      <c r="A167" s="78" t="s">
        <v>839</v>
      </c>
    </row>
    <row r="168" spans="1:1" x14ac:dyDescent="0.25">
      <c r="A168" s="75"/>
    </row>
    <row r="169" spans="1:1" x14ac:dyDescent="0.25">
      <c r="A169" s="87" t="s">
        <v>825</v>
      </c>
    </row>
    <row r="170" spans="1:1" x14ac:dyDescent="0.25">
      <c r="A170" s="88"/>
    </row>
    <row r="171" spans="1:1" x14ac:dyDescent="0.25">
      <c r="A171" s="89" t="s">
        <v>148</v>
      </c>
    </row>
    <row r="172" spans="1:1" x14ac:dyDescent="0.25">
      <c r="A172" s="89" t="s">
        <v>149</v>
      </c>
    </row>
    <row r="173" spans="1:1" x14ac:dyDescent="0.25">
      <c r="A173" s="89" t="s">
        <v>150</v>
      </c>
    </row>
    <row r="174" spans="1:1" x14ac:dyDescent="0.25">
      <c r="A174" s="75"/>
    </row>
    <row r="175" spans="1:1" x14ac:dyDescent="0.25">
      <c r="A175" s="74"/>
    </row>
    <row r="176" spans="1:1" x14ac:dyDescent="0.25">
      <c r="A176" s="75"/>
    </row>
    <row r="177" spans="1:1" ht="26.25" x14ac:dyDescent="0.25">
      <c r="A177" s="72" t="s">
        <v>807</v>
      </c>
    </row>
    <row r="178" spans="1:1" x14ac:dyDescent="0.25">
      <c r="A178" s="75"/>
    </row>
    <row r="179" spans="1:1" x14ac:dyDescent="0.25">
      <c r="A179" s="87" t="s">
        <v>151</v>
      </c>
    </row>
    <row r="180" spans="1:1" x14ac:dyDescent="0.25">
      <c r="A180" s="88"/>
    </row>
    <row r="181" spans="1:1" x14ac:dyDescent="0.25">
      <c r="A181" s="89" t="s">
        <v>152</v>
      </c>
    </row>
    <row r="182" spans="1:1" x14ac:dyDescent="0.25">
      <c r="A182" s="89" t="s">
        <v>153</v>
      </c>
    </row>
    <row r="183" spans="1:1" x14ac:dyDescent="0.25">
      <c r="A183" s="89" t="s">
        <v>154</v>
      </c>
    </row>
    <row r="184" spans="1:1" x14ac:dyDescent="0.25">
      <c r="A184" s="89" t="s">
        <v>155</v>
      </c>
    </row>
    <row r="185" spans="1:1" x14ac:dyDescent="0.25">
      <c r="A185" s="90"/>
    </row>
    <row r="186" spans="1:1" x14ac:dyDescent="0.25">
      <c r="A186" s="87" t="s">
        <v>156</v>
      </c>
    </row>
    <row r="187" spans="1:1" x14ac:dyDescent="0.25">
      <c r="A187" s="88"/>
    </row>
    <row r="188" spans="1:1" x14ac:dyDescent="0.25">
      <c r="A188" s="89" t="s">
        <v>157</v>
      </c>
    </row>
    <row r="189" spans="1:1" x14ac:dyDescent="0.25">
      <c r="A189" s="89" t="s">
        <v>158</v>
      </c>
    </row>
    <row r="190" spans="1:1" x14ac:dyDescent="0.25">
      <c r="A190" s="89" t="s">
        <v>159</v>
      </c>
    </row>
    <row r="191" spans="1:1" x14ac:dyDescent="0.25">
      <c r="A191" s="75"/>
    </row>
    <row r="192" spans="1:1" x14ac:dyDescent="0.25">
      <c r="A192" s="74"/>
    </row>
    <row r="193" spans="1:1" x14ac:dyDescent="0.25">
      <c r="A193" s="75"/>
    </row>
    <row r="194" spans="1:1" ht="26.25" x14ac:dyDescent="0.25">
      <c r="A194" s="72" t="s">
        <v>808</v>
      </c>
    </row>
    <row r="195" spans="1:1" x14ac:dyDescent="0.25">
      <c r="A195" s="77"/>
    </row>
    <row r="196" spans="1:1" x14ac:dyDescent="0.25">
      <c r="A196" s="89" t="s">
        <v>160</v>
      </c>
    </row>
    <row r="197" spans="1:1" x14ac:dyDescent="0.25">
      <c r="A197" s="89" t="s">
        <v>161</v>
      </c>
    </row>
    <row r="198" spans="1:1" x14ac:dyDescent="0.25">
      <c r="A198" s="89" t="s">
        <v>162</v>
      </c>
    </row>
    <row r="199" spans="1:1" x14ac:dyDescent="0.25">
      <c r="A199" s="90"/>
    </row>
    <row r="200" spans="1:1" x14ac:dyDescent="0.25">
      <c r="A200" s="87" t="s">
        <v>826</v>
      </c>
    </row>
    <row r="201" spans="1:1" x14ac:dyDescent="0.25">
      <c r="A201" s="75"/>
    </row>
    <row r="202" spans="1:1" x14ac:dyDescent="0.25">
      <c r="A202" s="74"/>
    </row>
    <row r="203" spans="1:1" x14ac:dyDescent="0.25">
      <c r="A203" s="75"/>
    </row>
    <row r="204" spans="1:1" ht="26.25" x14ac:dyDescent="0.25">
      <c r="A204" s="72" t="s">
        <v>809</v>
      </c>
    </row>
    <row r="205" spans="1:1" x14ac:dyDescent="0.25">
      <c r="A205" s="75"/>
    </row>
    <row r="206" spans="1:1" x14ac:dyDescent="0.25">
      <c r="A206" s="87" t="s">
        <v>163</v>
      </c>
    </row>
    <row r="207" spans="1:1" x14ac:dyDescent="0.25">
      <c r="A207" s="88"/>
    </row>
    <row r="208" spans="1:1" x14ac:dyDescent="0.25">
      <c r="A208" s="89" t="s">
        <v>164</v>
      </c>
    </row>
    <row r="209" spans="1:1" x14ac:dyDescent="0.25">
      <c r="A209" s="89" t="s">
        <v>165</v>
      </c>
    </row>
    <row r="210" spans="1:1" x14ac:dyDescent="0.25">
      <c r="A210" s="89" t="s">
        <v>166</v>
      </c>
    </row>
    <row r="211" spans="1:1" x14ac:dyDescent="0.25">
      <c r="A211" s="89" t="s">
        <v>167</v>
      </c>
    </row>
    <row r="212" spans="1:1" x14ac:dyDescent="0.25">
      <c r="A212" s="90"/>
    </row>
    <row r="213" spans="1:1" x14ac:dyDescent="0.25">
      <c r="A213" s="87" t="s">
        <v>827</v>
      </c>
    </row>
    <row r="214" spans="1:1" x14ac:dyDescent="0.25">
      <c r="A214" s="75"/>
    </row>
    <row r="215" spans="1:1" x14ac:dyDescent="0.25">
      <c r="A215" s="74"/>
    </row>
    <row r="216" spans="1:1" x14ac:dyDescent="0.25">
      <c r="A216" s="75"/>
    </row>
    <row r="217" spans="1:1" ht="26.25" x14ac:dyDescent="0.25">
      <c r="A217" s="72" t="s">
        <v>810</v>
      </c>
    </row>
    <row r="218" spans="1:1" x14ac:dyDescent="0.25">
      <c r="A218" s="75"/>
    </row>
    <row r="219" spans="1:1" x14ac:dyDescent="0.25">
      <c r="A219" s="87" t="s">
        <v>168</v>
      </c>
    </row>
    <row r="220" spans="1:1" x14ac:dyDescent="0.25">
      <c r="A220" s="88"/>
    </row>
    <row r="221" spans="1:1" x14ac:dyDescent="0.25">
      <c r="A221" s="89" t="s">
        <v>169</v>
      </c>
    </row>
    <row r="222" spans="1:1" x14ac:dyDescent="0.25">
      <c r="A222" s="89" t="s">
        <v>170</v>
      </c>
    </row>
    <row r="223" spans="1:1" x14ac:dyDescent="0.25">
      <c r="A223" s="89" t="s">
        <v>171</v>
      </c>
    </row>
    <row r="224" spans="1:1" x14ac:dyDescent="0.25">
      <c r="A224" s="90"/>
    </row>
    <row r="225" spans="1:1" x14ac:dyDescent="0.25">
      <c r="A225" s="87" t="s">
        <v>172</v>
      </c>
    </row>
    <row r="226" spans="1:1" x14ac:dyDescent="0.25">
      <c r="A226" s="88"/>
    </row>
    <row r="227" spans="1:1" x14ac:dyDescent="0.25">
      <c r="A227" s="89" t="s">
        <v>173</v>
      </c>
    </row>
    <row r="228" spans="1:1" x14ac:dyDescent="0.25">
      <c r="A228" s="89" t="s">
        <v>174</v>
      </c>
    </row>
    <row r="229" spans="1:1" x14ac:dyDescent="0.25">
      <c r="A229" s="89" t="s">
        <v>175</v>
      </c>
    </row>
    <row r="230" spans="1:1" x14ac:dyDescent="0.25">
      <c r="A230" s="75"/>
    </row>
    <row r="231" spans="1:1" x14ac:dyDescent="0.25">
      <c r="A231" s="76" t="s">
        <v>828</v>
      </c>
    </row>
  </sheetData>
  <sheetProtection algorithmName="SHA-512" hashValue="+6G6oOqxeh8d4YV9v11X80VN2B6yVZQX814vdbpAu9rgpdf0KS89Oc7JXeIG/06n0i0291duaiRAEhrtT8txNg==" saltValue="g8Cs5aHlIv9mCm9C3G3aH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BDA22"/>
  <sheetViews>
    <sheetView tabSelected="1" workbookViewId="0">
      <selection activeCell="T17" sqref="T17"/>
    </sheetView>
  </sheetViews>
  <sheetFormatPr baseColWidth="10" defaultRowHeight="15" x14ac:dyDescent="0.25"/>
  <cols>
    <col min="1" max="1" width="11.5703125" customWidth="1"/>
    <col min="2" max="2" width="3.28515625" customWidth="1"/>
    <col min="6" max="6" width="13" bestFit="1" customWidth="1"/>
    <col min="7" max="7" width="24.7109375" customWidth="1"/>
    <col min="10" max="11" width="2.85546875" customWidth="1"/>
    <col min="12" max="16" width="11.5703125" hidden="1" customWidth="1"/>
    <col min="17" max="17" width="2.85546875" customWidth="1"/>
  </cols>
  <sheetData>
    <row r="1" spans="1:53 1457:1457" ht="46.5" x14ac:dyDescent="0.7">
      <c r="A1" s="95" t="s">
        <v>1069</v>
      </c>
      <c r="B1" s="6"/>
      <c r="C1" s="6"/>
      <c r="D1" s="6"/>
      <c r="E1" s="6"/>
      <c r="F1" s="6"/>
      <c r="G1" s="6"/>
      <c r="H1" s="6"/>
      <c r="I1" s="6"/>
    </row>
    <row r="2" spans="1:53 1457:1457" x14ac:dyDescent="0.25">
      <c r="A2" s="30"/>
      <c r="I2" s="6"/>
      <c r="K2" s="6"/>
      <c r="L2" s="99" t="s">
        <v>1035</v>
      </c>
      <c r="M2" s="6"/>
      <c r="N2" s="6"/>
      <c r="O2" s="6"/>
      <c r="P2" s="6"/>
      <c r="Q2" s="6"/>
      <c r="BA2" s="55">
        <f ca="1">NOW()</f>
        <v>46215.568476388886</v>
      </c>
      <c r="BDA2" s="55">
        <f ca="1">NOW()</f>
        <v>46215.568476388886</v>
      </c>
    </row>
    <row r="3" spans="1:53 1457:1457" ht="14.45" customHeight="1" x14ac:dyDescent="0.25">
      <c r="A3" s="6"/>
      <c r="I3" s="6"/>
      <c r="K3" s="123" t="s">
        <v>1035</v>
      </c>
      <c r="Q3" s="6"/>
    </row>
    <row r="4" spans="1:53 1457:1457" x14ac:dyDescent="0.25">
      <c r="A4" s="6"/>
      <c r="I4" s="6"/>
      <c r="K4" s="123"/>
      <c r="L4" s="109" t="s">
        <v>1036</v>
      </c>
      <c r="M4" s="109"/>
      <c r="N4" s="109"/>
      <c r="O4" s="109"/>
      <c r="P4" s="109"/>
      <c r="Q4" s="6"/>
    </row>
    <row r="5" spans="1:53 1457:1457" x14ac:dyDescent="0.25">
      <c r="A5" s="6"/>
      <c r="I5" s="6"/>
      <c r="K5" s="123"/>
      <c r="L5" s="109"/>
      <c r="M5" s="109"/>
      <c r="N5" s="109"/>
      <c r="O5" s="109"/>
      <c r="P5" s="109"/>
      <c r="Q5" s="6"/>
    </row>
    <row r="6" spans="1:53 1457:1457" x14ac:dyDescent="0.25">
      <c r="A6" s="6"/>
      <c r="I6" s="6"/>
      <c r="K6" s="123"/>
      <c r="Q6" s="6"/>
    </row>
    <row r="7" spans="1:53 1457:1457" x14ac:dyDescent="0.25">
      <c r="A7" s="6"/>
      <c r="I7" s="6"/>
      <c r="K7" s="123"/>
      <c r="L7" s="124" t="s">
        <v>1037</v>
      </c>
      <c r="M7" s="124"/>
      <c r="N7" s="124"/>
      <c r="O7" s="124"/>
      <c r="P7" s="124"/>
      <c r="Q7" s="6"/>
    </row>
    <row r="8" spans="1:53 1457:1457" x14ac:dyDescent="0.25">
      <c r="A8" s="6"/>
      <c r="I8" s="6"/>
      <c r="K8" s="6"/>
      <c r="Q8" s="6"/>
    </row>
    <row r="9" spans="1:53 1457:1457" ht="15" customHeight="1" x14ac:dyDescent="0.25">
      <c r="A9" s="6"/>
      <c r="I9" s="6"/>
      <c r="K9" s="6"/>
      <c r="L9" s="109" t="s">
        <v>1038</v>
      </c>
      <c r="M9" s="109"/>
      <c r="N9" s="109"/>
      <c r="O9" s="109"/>
      <c r="P9" s="109"/>
      <c r="Q9" s="6"/>
    </row>
    <row r="10" spans="1:53 1457:1457" x14ac:dyDescent="0.25">
      <c r="A10" s="6"/>
      <c r="F10" s="6" t="s">
        <v>1024</v>
      </c>
      <c r="G10" s="97" t="s">
        <v>1025</v>
      </c>
      <c r="I10" s="6"/>
      <c r="K10" s="6"/>
      <c r="L10" s="109"/>
      <c r="M10" s="109"/>
      <c r="N10" s="109"/>
      <c r="O10" s="109"/>
      <c r="P10" s="109"/>
      <c r="Q10" s="6"/>
    </row>
    <row r="11" spans="1:53 1457:1457" x14ac:dyDescent="0.25">
      <c r="A11" s="6"/>
      <c r="I11" s="6"/>
      <c r="K11" s="6"/>
      <c r="Q11" s="6"/>
    </row>
    <row r="12" spans="1:53 1457:1457" x14ac:dyDescent="0.25">
      <c r="A12" s="6"/>
      <c r="F12" s="6" t="s">
        <v>1026</v>
      </c>
      <c r="G12" s="97" t="s">
        <v>1027</v>
      </c>
      <c r="I12" s="6"/>
      <c r="K12" s="6"/>
      <c r="L12" s="109" t="s">
        <v>1039</v>
      </c>
      <c r="M12" s="109"/>
      <c r="N12" s="109"/>
      <c r="O12" s="109"/>
      <c r="P12" s="109"/>
      <c r="Q12" s="6"/>
    </row>
    <row r="13" spans="1:53 1457:1457" x14ac:dyDescent="0.25">
      <c r="A13" s="6"/>
      <c r="I13" s="6"/>
      <c r="K13" s="6"/>
      <c r="L13" s="109"/>
      <c r="M13" s="109"/>
      <c r="N13" s="109"/>
      <c r="O13" s="109"/>
      <c r="P13" s="109"/>
      <c r="Q13" s="6"/>
    </row>
    <row r="14" spans="1:53 1457:1457" x14ac:dyDescent="0.25">
      <c r="A14" s="6"/>
      <c r="F14" s="6" t="s">
        <v>1065</v>
      </c>
      <c r="G14" s="97" t="s">
        <v>1068</v>
      </c>
      <c r="I14" s="6"/>
      <c r="K14" s="6"/>
      <c r="L14" s="107"/>
      <c r="M14" s="107"/>
      <c r="N14" s="107"/>
      <c r="O14" s="107"/>
      <c r="P14" s="107"/>
      <c r="Q14" s="6"/>
    </row>
    <row r="15" spans="1:53 1457:1457" x14ac:dyDescent="0.25">
      <c r="A15" s="6"/>
      <c r="I15" s="6"/>
      <c r="K15" s="6"/>
      <c r="L15" s="109" t="s">
        <v>1071</v>
      </c>
      <c r="M15" s="109"/>
      <c r="N15" s="109"/>
      <c r="O15" s="109"/>
      <c r="P15" s="109"/>
      <c r="Q15" s="6"/>
    </row>
    <row r="16" spans="1:53 1457:1457" x14ac:dyDescent="0.25">
      <c r="A16" s="6"/>
      <c r="B16" s="6"/>
      <c r="C16" s="6"/>
      <c r="D16" s="6"/>
      <c r="E16" s="6"/>
      <c r="F16" s="6"/>
      <c r="G16" s="6"/>
      <c r="H16" s="6"/>
      <c r="I16" s="6"/>
      <c r="K16" s="6"/>
      <c r="L16" s="109"/>
      <c r="M16" s="109"/>
      <c r="N16" s="109"/>
      <c r="O16" s="109"/>
      <c r="P16" s="109"/>
      <c r="Q16" s="6"/>
    </row>
    <row r="17" spans="1:17" x14ac:dyDescent="0.25">
      <c r="A17" s="82" t="str">
        <f>_xlfn.CONCAT("Versión v.",Sesion!B7)</f>
        <v>Versión v.1.1.1</v>
      </c>
      <c r="B17" s="6"/>
      <c r="C17" s="82" t="str">
        <f>'Acerca de'!B19</f>
        <v>Fecha de build: 2026‑07</v>
      </c>
      <c r="D17" s="6"/>
      <c r="E17" s="6"/>
      <c r="F17" s="6"/>
      <c r="G17" s="6"/>
      <c r="H17" s="6"/>
      <c r="I17" s="6"/>
      <c r="K17" s="6"/>
      <c r="Q17" s="6"/>
    </row>
    <row r="18" spans="1:17" x14ac:dyDescent="0.25">
      <c r="A18" s="82" t="str">
        <f>'Acerca de'!B24</f>
        <v>Autor: Antonio Teodomiro Márquez Muñoz</v>
      </c>
      <c r="B18" s="6"/>
      <c r="C18" s="6"/>
      <c r="D18" s="6"/>
      <c r="E18" s="6"/>
      <c r="F18" s="6"/>
      <c r="G18" s="6"/>
      <c r="H18" s="6"/>
      <c r="I18" s="6"/>
      <c r="K18" s="6"/>
      <c r="L18" s="6"/>
      <c r="M18" s="6"/>
      <c r="N18" s="6"/>
      <c r="O18" s="6"/>
      <c r="P18" s="6"/>
      <c r="Q18" s="6"/>
    </row>
    <row r="19" spans="1:17" x14ac:dyDescent="0.25">
      <c r="A19" s="82" t="str">
        <f>'Acerca de'!B28</f>
        <v>Exam‑Excel es software libre. Si te resulta útil, puedes apoyar su desarrollo con una donación voluntaria.</v>
      </c>
      <c r="B19" s="6"/>
      <c r="C19" s="6"/>
      <c r="D19" s="6"/>
      <c r="E19" s="6"/>
      <c r="F19" s="6"/>
      <c r="G19" s="6"/>
      <c r="H19" s="6"/>
      <c r="I19" s="6"/>
    </row>
    <row r="20" spans="1:17" x14ac:dyDescent="0.25">
      <c r="A20" s="100" t="s">
        <v>1040</v>
      </c>
      <c r="B20" s="6"/>
      <c r="C20" s="100" t="s">
        <v>1041</v>
      </c>
      <c r="D20" s="100" t="s">
        <v>1048</v>
      </c>
      <c r="E20" s="6"/>
      <c r="F20" s="6"/>
      <c r="G20" s="104" t="s">
        <v>243</v>
      </c>
      <c r="H20" s="6"/>
      <c r="I20" s="6"/>
    </row>
    <row r="21" spans="1:17" x14ac:dyDescent="0.25">
      <c r="A21" s="6"/>
      <c r="B21" s="6"/>
      <c r="C21" s="6"/>
      <c r="D21" s="6"/>
      <c r="E21" s="6"/>
      <c r="F21" s="6"/>
      <c r="G21" s="6"/>
      <c r="H21" s="6"/>
      <c r="I21" s="6"/>
    </row>
    <row r="22" spans="1:17" x14ac:dyDescent="0.25">
      <c r="G22" s="94"/>
    </row>
  </sheetData>
  <mergeCells count="6">
    <mergeCell ref="K3:K7"/>
    <mergeCell ref="L15:P16"/>
    <mergeCell ref="L4:P5"/>
    <mergeCell ref="L9:P10"/>
    <mergeCell ref="L12:P13"/>
    <mergeCell ref="L7:P7"/>
  </mergeCells>
  <hyperlinks>
    <hyperlink ref="A20" location="'Acerca de'!A1" display="Acerca de…" xr:uid="{AF62DD2E-F1BF-433F-B28C-D4CE311FF4E8}"/>
    <hyperlink ref="C20" location="LICENSE!A1" display="Licencia" xr:uid="{A3768A73-6703-466F-80DB-81222077B55E}"/>
    <hyperlink ref="D20" location="Instrucciones!A1" display="Instrucciones" xr:uid="{44922FB0-CD5C-46A0-A7FC-8EEA3D2D583A}"/>
    <hyperlink ref="K3:K7" location="Principal!K3" display="Ayuda" xr:uid="{A04D524A-0308-431A-9405-632CA463ADF1}"/>
    <hyperlink ref="G20" r:id="rId1" display="https://paypal.me/atmarquez" xr:uid="{9CA67EB5-BA3A-4A2F-99D2-E9CB16DB152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onComenzar_Click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3</xdr:col>
                    <xdr:colOff>781050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otonContinuarSesion_Click">
                <anchor moveWithCells="1" sizeWithCells="1">
                  <from>
                    <xdr:col>2</xdr:col>
                    <xdr:colOff>0</xdr:colOff>
                    <xdr:row>7</xdr:row>
                    <xdr:rowOff>9525</xdr:rowOff>
                  </from>
                  <to>
                    <xdr:col>3</xdr:col>
                    <xdr:colOff>781050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esetearBaseDeDatos">
                <anchor moveWithCells="1" sizeWithCells="1">
                  <from>
                    <xdr:col>2</xdr:col>
                    <xdr:colOff>9525</xdr:colOff>
                    <xdr:row>10</xdr:row>
                    <xdr:rowOff>66675</xdr:rowOff>
                  </from>
                  <to>
                    <xdr:col>3</xdr:col>
                    <xdr:colOff>781050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0E71DF-2691-40A5-883D-399C6CBDBC21}">
          <x14:formula1>
            <xm:f>Sesion!$E$2:$E$3</xm:f>
          </x14:formula1>
          <xm:sqref>G10</xm:sqref>
        </x14:dataValidation>
        <x14:dataValidation type="list" allowBlank="1" showInputMessage="1" showErrorMessage="1" xr:uid="{74CF04D9-6263-46BD-9339-9D8240A1FE1C}">
          <x14:formula1>
            <xm:f>Sesion!$F$2:$F$3</xm:f>
          </x14:formula1>
          <xm:sqref>G12</xm:sqref>
        </x14:dataValidation>
        <x14:dataValidation type="list" allowBlank="1" showInputMessage="1" showErrorMessage="1" xr:uid="{84D1D1C5-41E9-45E5-85B7-07BFD195DEEC}">
          <x14:formula1>
            <xm:f>Sesion!$G$2:$G$3</xm:f>
          </x14:formula1>
          <xm:sqref>G14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A38"/>
  <sheetViews>
    <sheetView zoomScaleNormal="100" workbookViewId="0">
      <selection activeCell="B3" sqref="B3:N3"/>
    </sheetView>
  </sheetViews>
  <sheetFormatPr baseColWidth="10" defaultRowHeight="15" x14ac:dyDescent="0.25"/>
  <cols>
    <col min="1" max="1" width="6.7109375" customWidth="1"/>
    <col min="2" max="2" width="5.42578125" customWidth="1"/>
    <col min="3" max="3" width="7.140625" bestFit="1" customWidth="1"/>
    <col min="4" max="4" width="5" customWidth="1"/>
    <col min="5" max="5" width="17.7109375" customWidth="1"/>
    <col min="7" max="7" width="32" customWidth="1"/>
    <col min="8" max="8" width="6.85546875" customWidth="1"/>
    <col min="9" max="9" width="3.85546875" customWidth="1"/>
    <col min="10" max="10" width="10" customWidth="1"/>
    <col min="11" max="11" width="4.5703125" customWidth="1"/>
    <col min="12" max="12" width="11.5703125" customWidth="1"/>
    <col min="13" max="13" width="11.42578125" customWidth="1"/>
    <col min="14" max="14" width="12.28515625" customWidth="1"/>
    <col min="15" max="15" width="11.5703125" customWidth="1"/>
    <col min="16" max="16" width="13.28515625" customWidth="1"/>
    <col min="17" max="17" width="9" customWidth="1"/>
    <col min="18" max="19" width="2.85546875" customWidth="1"/>
    <col min="20" max="26" width="11.5703125" hidden="1" customWidth="1"/>
    <col min="27" max="27" width="2.85546875" customWidth="1"/>
  </cols>
  <sheetData>
    <row r="1" spans="1:27" x14ac:dyDescent="0.25">
      <c r="A1" s="19" t="s">
        <v>15</v>
      </c>
      <c r="B1" s="24" t="s">
        <v>21</v>
      </c>
      <c r="C1" s="19" t="s">
        <v>16</v>
      </c>
      <c r="D1" s="24" t="s">
        <v>843</v>
      </c>
      <c r="E1" s="6"/>
      <c r="F1" s="19"/>
      <c r="G1" s="20"/>
      <c r="H1" s="19" t="s">
        <v>22</v>
      </c>
      <c r="I1" s="23" t="s">
        <v>1070</v>
      </c>
      <c r="J1" s="19" t="s">
        <v>23</v>
      </c>
      <c r="K1" s="23" t="s">
        <v>1070</v>
      </c>
      <c r="L1" s="21" t="s">
        <v>20</v>
      </c>
      <c r="M1" s="25">
        <v>7</v>
      </c>
      <c r="N1" s="25"/>
      <c r="O1" s="6"/>
      <c r="P1" s="6"/>
      <c r="Q1" s="6"/>
    </row>
    <row r="2" spans="1:27" ht="15.75" thickBot="1" x14ac:dyDescent="0.3">
      <c r="A2" s="98" t="s">
        <v>1032</v>
      </c>
      <c r="B2" s="110">
        <v>0</v>
      </c>
      <c r="C2" s="110"/>
      <c r="D2" s="31" t="s">
        <v>1033</v>
      </c>
      <c r="E2" s="106">
        <v>0</v>
      </c>
      <c r="F2" s="19"/>
      <c r="G2" s="19" t="s">
        <v>40</v>
      </c>
      <c r="H2" s="19" t="s">
        <v>38</v>
      </c>
      <c r="I2" s="57">
        <v>0</v>
      </c>
      <c r="J2" s="19" t="s">
        <v>39</v>
      </c>
      <c r="K2" s="58">
        <v>0</v>
      </c>
      <c r="L2" s="21" t="s">
        <v>34</v>
      </c>
      <c r="M2" s="24">
        <v>0</v>
      </c>
      <c r="N2" s="24"/>
      <c r="O2" s="6"/>
      <c r="P2" s="6"/>
      <c r="Q2" s="6"/>
    </row>
    <row r="3" spans="1:27" ht="75" customHeight="1" thickBot="1" x14ac:dyDescent="0.3">
      <c r="A3" s="6"/>
      <c r="B3" s="119" t="s">
        <v>844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1"/>
      <c r="O3" s="32">
        <f>P5+1</f>
        <v>1</v>
      </c>
      <c r="P3" s="6"/>
      <c r="Q3" s="6" t="s">
        <v>31</v>
      </c>
    </row>
    <row r="4" spans="1:27" x14ac:dyDescent="0.25">
      <c r="A4" s="6"/>
      <c r="B4" s="100" t="s">
        <v>1042</v>
      </c>
      <c r="C4" s="6"/>
      <c r="D4" s="6"/>
      <c r="E4" s="100" t="s">
        <v>216</v>
      </c>
      <c r="F4" s="100" t="s">
        <v>1043</v>
      </c>
      <c r="G4" s="6"/>
      <c r="H4" s="6"/>
      <c r="I4" s="6"/>
      <c r="J4" s="6"/>
      <c r="K4" s="6"/>
      <c r="L4" s="6"/>
      <c r="M4" s="6"/>
      <c r="N4" s="6"/>
      <c r="O4" s="52">
        <f>Q4-Q5+Q7</f>
        <v>25</v>
      </c>
      <c r="P4" s="26">
        <f>Q6/Q4</f>
        <v>0</v>
      </c>
      <c r="Q4" s="29">
        <f>Sesion!B5</f>
        <v>25</v>
      </c>
      <c r="S4" s="6"/>
      <c r="T4" s="99" t="s">
        <v>1035</v>
      </c>
      <c r="U4" s="6"/>
      <c r="V4" s="6"/>
      <c r="W4" s="6"/>
      <c r="X4" s="6"/>
      <c r="Y4" s="6"/>
      <c r="Z4" s="6"/>
      <c r="AA4" s="6"/>
    </row>
    <row r="5" spans="1:27" ht="43.5" customHeight="1" x14ac:dyDescent="0.25">
      <c r="A5" s="10" t="s">
        <v>5</v>
      </c>
      <c r="B5" s="114" t="s">
        <v>845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05" t="s">
        <v>1060</v>
      </c>
      <c r="O5" s="7" t="s">
        <v>1073</v>
      </c>
      <c r="P5" s="8">
        <v>0</v>
      </c>
      <c r="Q5" s="29">
        <f>SUM(BD!N:N)</f>
        <v>0</v>
      </c>
      <c r="S5" s="118" t="s">
        <v>1035</v>
      </c>
      <c r="T5" s="89" t="s">
        <v>1054</v>
      </c>
      <c r="AA5" s="6"/>
    </row>
    <row r="6" spans="1:27" ht="43.5" customHeight="1" x14ac:dyDescent="0.25">
      <c r="A6" s="10" t="s">
        <v>0</v>
      </c>
      <c r="B6" s="116" t="s">
        <v>846</v>
      </c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05" t="s">
        <v>1060</v>
      </c>
      <c r="O6" s="7" t="s">
        <v>1074</v>
      </c>
      <c r="P6" s="8">
        <v>0</v>
      </c>
      <c r="Q6" s="29">
        <f>SUM(BD!O:O)</f>
        <v>0</v>
      </c>
      <c r="S6" s="118"/>
      <c r="T6" s="89" t="s">
        <v>1055</v>
      </c>
      <c r="AA6" s="6"/>
    </row>
    <row r="7" spans="1:27" ht="43.5" customHeight="1" x14ac:dyDescent="0.25">
      <c r="A7" s="10" t="s">
        <v>6</v>
      </c>
      <c r="B7" s="114" t="s">
        <v>848</v>
      </c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05" t="s">
        <v>1060</v>
      </c>
      <c r="O7" s="7" t="s">
        <v>1075</v>
      </c>
      <c r="P7" s="8">
        <v>0</v>
      </c>
      <c r="Q7" s="29">
        <f>Q5-Q6</f>
        <v>0</v>
      </c>
      <c r="S7" s="6"/>
      <c r="T7" s="89" t="s">
        <v>1056</v>
      </c>
      <c r="AA7" s="6"/>
    </row>
    <row r="8" spans="1:27" ht="43.5" customHeight="1" x14ac:dyDescent="0.25">
      <c r="A8" s="10" t="s">
        <v>7</v>
      </c>
      <c r="B8" s="114" t="s">
        <v>847</v>
      </c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05" t="s">
        <v>1060</v>
      </c>
      <c r="O8" s="29" t="s">
        <v>1076</v>
      </c>
      <c r="P8" s="9">
        <v>0</v>
      </c>
      <c r="Q8" s="28">
        <f>IF(SUM(BD!N:N)&lt;&gt;0,SUM(BD!O:O)/SUM(BD!N:N),0)</f>
        <v>0</v>
      </c>
      <c r="S8" s="6"/>
      <c r="T8" s="89" t="s">
        <v>1057</v>
      </c>
      <c r="AA8" s="6"/>
    </row>
    <row r="9" spans="1:27" x14ac:dyDescent="0.25">
      <c r="A9" s="6"/>
      <c r="B9" s="6"/>
      <c r="C9" s="6"/>
      <c r="D9" s="6"/>
      <c r="E9" s="6"/>
      <c r="F9" s="6"/>
      <c r="G9" s="33"/>
      <c r="H9" s="6"/>
      <c r="I9" s="6"/>
      <c r="J9" s="6"/>
      <c r="K9" s="6"/>
      <c r="L9" s="6"/>
      <c r="M9" s="6"/>
      <c r="N9" s="6"/>
      <c r="O9" s="27"/>
      <c r="P9" s="27"/>
      <c r="Q9" s="31">
        <f>SUM(BD!P:P)</f>
        <v>0</v>
      </c>
      <c r="S9" s="6"/>
      <c r="T9" s="89" t="s">
        <v>1058</v>
      </c>
      <c r="AA9" s="6"/>
    </row>
    <row r="10" spans="1:27" x14ac:dyDescent="0.25">
      <c r="A10" s="111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6"/>
      <c r="P10" s="6"/>
      <c r="Q10" s="6"/>
      <c r="S10" s="6"/>
      <c r="AA10" s="6"/>
    </row>
    <row r="11" spans="1:27" x14ac:dyDescent="0.25">
      <c r="A11" s="112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6"/>
      <c r="P11" s="6"/>
      <c r="Q11" s="6"/>
      <c r="S11" s="6"/>
      <c r="T11" s="109" t="s">
        <v>1059</v>
      </c>
      <c r="U11" s="109"/>
      <c r="V11" s="109"/>
      <c r="W11" s="109"/>
      <c r="X11" s="109"/>
      <c r="Y11" s="109"/>
      <c r="Z11" s="109"/>
      <c r="AA11" s="6"/>
    </row>
    <row r="12" spans="1:27" x14ac:dyDescent="0.25">
      <c r="A12" s="11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6"/>
      <c r="P12" s="6"/>
      <c r="Q12" s="6"/>
      <c r="S12" s="6"/>
      <c r="T12" s="109"/>
      <c r="U12" s="109"/>
      <c r="V12" s="109"/>
      <c r="W12" s="109"/>
      <c r="X12" s="109"/>
      <c r="Y12" s="109"/>
      <c r="Z12" s="109"/>
      <c r="AA12" s="6"/>
    </row>
    <row r="13" spans="1:27" x14ac:dyDescent="0.25">
      <c r="A13" s="112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6"/>
      <c r="P13" s="6"/>
      <c r="Q13" s="6"/>
      <c r="S13" s="6"/>
      <c r="AA13" s="6"/>
    </row>
    <row r="14" spans="1:27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S14" s="6"/>
      <c r="T14" s="109" t="s">
        <v>1053</v>
      </c>
      <c r="U14" s="109"/>
      <c r="V14" s="109"/>
      <c r="W14" s="109"/>
      <c r="X14" s="109"/>
      <c r="Y14" s="109"/>
      <c r="Z14" s="109"/>
      <c r="AA14" s="6"/>
    </row>
    <row r="15" spans="1:27" ht="15" customHeight="1" x14ac:dyDescent="0.25">
      <c r="A15" s="6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6"/>
      <c r="S15" s="6"/>
      <c r="T15" s="109"/>
      <c r="U15" s="109"/>
      <c r="V15" s="109"/>
      <c r="W15" s="109"/>
      <c r="X15" s="109"/>
      <c r="Y15" s="109"/>
      <c r="Z15" s="109"/>
      <c r="AA15" s="6"/>
    </row>
    <row r="16" spans="1:27" x14ac:dyDescent="0.25">
      <c r="A16" s="6"/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6"/>
      <c r="S16" s="6"/>
      <c r="AA16" s="6"/>
    </row>
    <row r="17" spans="1:27" x14ac:dyDescent="0.25">
      <c r="A17" s="6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6"/>
      <c r="S17" s="6"/>
      <c r="T17" s="109" t="s">
        <v>1049</v>
      </c>
      <c r="U17" s="109"/>
      <c r="V17" s="109"/>
      <c r="W17" s="109"/>
      <c r="X17" s="109"/>
      <c r="Y17" s="109"/>
      <c r="Z17" s="109"/>
      <c r="AA17" s="6"/>
    </row>
    <row r="18" spans="1:27" x14ac:dyDescent="0.25">
      <c r="A18" s="6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6"/>
      <c r="S18" s="6"/>
      <c r="T18" s="109"/>
      <c r="U18" s="109"/>
      <c r="V18" s="109"/>
      <c r="W18" s="109"/>
      <c r="X18" s="109"/>
      <c r="Y18" s="109"/>
      <c r="Z18" s="109"/>
      <c r="AA18" s="6"/>
    </row>
    <row r="19" spans="1:27" x14ac:dyDescent="0.25">
      <c r="A19" s="6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6"/>
      <c r="S19" s="6"/>
      <c r="AA19" s="6"/>
    </row>
    <row r="20" spans="1:27" x14ac:dyDescent="0.25">
      <c r="A20" s="6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6"/>
      <c r="S20" s="6"/>
      <c r="T20" s="89" t="s">
        <v>1050</v>
      </c>
      <c r="AA20" s="6"/>
    </row>
    <row r="21" spans="1:27" x14ac:dyDescent="0.25">
      <c r="A21" s="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6"/>
      <c r="S21" s="6"/>
      <c r="AA21" s="6"/>
    </row>
    <row r="22" spans="1:27" x14ac:dyDescent="0.25">
      <c r="A22" s="6"/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6"/>
      <c r="S22" s="6"/>
      <c r="T22" s="89" t="s">
        <v>1052</v>
      </c>
      <c r="AA22" s="6"/>
    </row>
    <row r="23" spans="1:27" x14ac:dyDescent="0.25">
      <c r="A23" s="6"/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6"/>
      <c r="S23" s="6"/>
      <c r="AA23" s="6"/>
    </row>
    <row r="24" spans="1:27" x14ac:dyDescent="0.25">
      <c r="A24" s="6"/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6"/>
      <c r="S24" s="6"/>
      <c r="T24" s="89" t="s">
        <v>1051</v>
      </c>
      <c r="AA24" s="6"/>
    </row>
    <row r="25" spans="1:27" x14ac:dyDescent="0.25">
      <c r="A25" s="6"/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6"/>
      <c r="S25" s="6"/>
      <c r="AA25" s="6"/>
    </row>
    <row r="26" spans="1:27" x14ac:dyDescent="0.25">
      <c r="A26" s="6"/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6"/>
      <c r="S26" s="6"/>
      <c r="T26" s="89" t="s">
        <v>1061</v>
      </c>
      <c r="AA26" s="6"/>
    </row>
    <row r="27" spans="1:27" x14ac:dyDescent="0.25">
      <c r="A27" s="6"/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6"/>
      <c r="S27" s="6"/>
      <c r="AA27" s="6"/>
    </row>
    <row r="28" spans="1:27" x14ac:dyDescent="0.25">
      <c r="A28" s="6"/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6"/>
      <c r="S28" s="6"/>
      <c r="T28" s="6"/>
      <c r="U28" s="6"/>
      <c r="V28" s="6"/>
      <c r="W28" s="6"/>
      <c r="X28" s="6"/>
      <c r="Y28" s="6"/>
      <c r="Z28" s="6"/>
      <c r="AA28" s="6"/>
    </row>
    <row r="29" spans="1:27" x14ac:dyDescent="0.25">
      <c r="A29" s="6"/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6"/>
    </row>
    <row r="30" spans="1:27" x14ac:dyDescent="0.25">
      <c r="A30" s="6"/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6"/>
    </row>
    <row r="31" spans="1:27" x14ac:dyDescent="0.25">
      <c r="A31" s="6"/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6"/>
    </row>
    <row r="32" spans="1:27" x14ac:dyDescent="0.25">
      <c r="A32" s="6"/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6"/>
    </row>
    <row r="33" spans="1:17" x14ac:dyDescent="0.25">
      <c r="A33" s="6"/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6"/>
    </row>
    <row r="34" spans="1:17" x14ac:dyDescent="0.25">
      <c r="A34" s="6"/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6"/>
    </row>
    <row r="35" spans="1:17" x14ac:dyDescent="0.25">
      <c r="A35" s="6"/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6"/>
    </row>
    <row r="36" spans="1:17" x14ac:dyDescent="0.25">
      <c r="A36" s="6"/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6"/>
    </row>
    <row r="37" spans="1:17" x14ac:dyDescent="0.25">
      <c r="A37" s="6"/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6"/>
    </row>
    <row r="38" spans="1:17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</sheetData>
  <mergeCells count="13">
    <mergeCell ref="T11:Z12"/>
    <mergeCell ref="T14:Z15"/>
    <mergeCell ref="T17:Z18"/>
    <mergeCell ref="B2:C2"/>
    <mergeCell ref="A10:A13"/>
    <mergeCell ref="B15:P37"/>
    <mergeCell ref="B5:M5"/>
    <mergeCell ref="B6:M6"/>
    <mergeCell ref="B7:M7"/>
    <mergeCell ref="B8:M8"/>
    <mergeCell ref="S5:S6"/>
    <mergeCell ref="B3:N3"/>
    <mergeCell ref="B10:N13"/>
  </mergeCells>
  <hyperlinks>
    <hyperlink ref="B4" location="Gráficos!A1" display="Gráficos" xr:uid="{EEEB3A90-468E-4F28-87FA-9AA0249E6DA6}"/>
    <hyperlink ref="E4" location="Glosario!A1" display="Glosario" xr:uid="{7839868D-C728-4B18-97F7-1BE8FEE8140D}"/>
    <hyperlink ref="F4" location="Anotaciones!A1" display="Anotaciones" xr:uid="{88F0DCCA-92BF-4544-9F23-796B88C209AA}"/>
    <hyperlink ref="S5:S6" location="Pregunta!S5" display="Ayuda" xr:uid="{254B2559-0722-44AC-A14C-5F1DAFE631E4}"/>
  </hyperlink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onSiguiente_Click">
                <anchor moveWithCells="1" sizeWithCells="1">
                  <from>
                    <xdr:col>14</xdr:col>
                    <xdr:colOff>238125</xdr:colOff>
                    <xdr:row>9</xdr:row>
                    <xdr:rowOff>9525</xdr:rowOff>
                  </from>
                  <to>
                    <xdr:col>15</xdr:col>
                    <xdr:colOff>304800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onRespuestaA_Click">
                <anchor moveWithCells="1" sizeWithCells="1">
                  <from>
                    <xdr:col>0</xdr:col>
                    <xdr:colOff>19050</xdr:colOff>
                    <xdr:row>4</xdr:row>
                    <xdr:rowOff>19050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onRespuestaB_Click">
                <anchor moveWithCells="1" sizeWithCells="1">
                  <from>
                    <xdr:col>0</xdr:col>
                    <xdr:colOff>19050</xdr:colOff>
                    <xdr:row>5</xdr:row>
                    <xdr:rowOff>9525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onRespuestaC_Click">
                <anchor moveWithCells="1" sizeWithCells="1">
                  <from>
                    <xdr:col>0</xdr:col>
                    <xdr:colOff>19050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otonRespuestaD_Click">
                <anchor moveWithCells="1" sizeWithCells="1">
                  <from>
                    <xdr:col>0</xdr:col>
                    <xdr:colOff>19050</xdr:colOff>
                    <xdr:row>7</xdr:row>
                    <xdr:rowOff>9525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BotonVerPreguntaEnBD_Click">
                <anchor moveWithCells="1" sizeWithCells="1">
                  <from>
                    <xdr:col>14</xdr:col>
                    <xdr:colOff>666750</xdr:colOff>
                    <xdr:row>0</xdr:row>
                    <xdr:rowOff>47625</xdr:rowOff>
                  </from>
                  <to>
                    <xdr:col>16</xdr:col>
                    <xdr:colOff>85725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361950</xdr:rowOff>
                  </from>
                  <to>
                    <xdr:col>16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otonRefrescarPregunta_Click">
                <anchor moveWithCells="1" sizeWithCells="1">
                  <from>
                    <xdr:col>16</xdr:col>
                    <xdr:colOff>95250</xdr:colOff>
                    <xdr:row>0</xdr:row>
                    <xdr:rowOff>47625</xdr:rowOff>
                  </from>
                  <to>
                    <xdr:col>16</xdr:col>
                    <xdr:colOff>285750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ResetearRelojes">
                <anchor moveWithCells="1" sizeWithCells="1">
                  <from>
                    <xdr:col>4</xdr:col>
                    <xdr:colOff>1095375</xdr:colOff>
                    <xdr:row>1</xdr:row>
                    <xdr:rowOff>9525</xdr:rowOff>
                  </from>
                  <to>
                    <xdr:col>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IniciarRelojes">
                <anchor moveWithCells="1" sizeWithCells="1">
                  <from>
                    <xdr:col>4</xdr:col>
                    <xdr:colOff>476250</xdr:colOff>
                    <xdr:row>1</xdr:row>
                    <xdr:rowOff>9525</xdr:rowOff>
                  </from>
                  <to>
                    <xdr:col>4</xdr:col>
                    <xdr:colOff>657225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PausarRelojes">
                <anchor moveWithCells="1" sizeWithCells="1">
                  <from>
                    <xdr:col>4</xdr:col>
                    <xdr:colOff>666750</xdr:colOff>
                    <xdr:row>1</xdr:row>
                    <xdr:rowOff>9525</xdr:rowOff>
                  </from>
                  <to>
                    <xdr:col>4</xdr:col>
                    <xdr:colOff>885825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ActivarModoAutomatico">
                <anchor moveWithCells="1" sizeWithCells="1">
                  <from>
                    <xdr:col>4</xdr:col>
                    <xdr:colOff>895350</xdr:colOff>
                    <xdr:row>1</xdr:row>
                    <xdr:rowOff>9525</xdr:rowOff>
                  </from>
                  <to>
                    <xdr:col>4</xdr:col>
                    <xdr:colOff>1095375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Calculadora">
                <anchor moveWithCells="1" sizeWithCells="1">
                  <from>
                    <xdr:col>15</xdr:col>
                    <xdr:colOff>95250</xdr:colOff>
                    <xdr:row>2</xdr:row>
                    <xdr:rowOff>85725</xdr:rowOff>
                  </from>
                  <to>
                    <xdr:col>15</xdr:col>
                    <xdr:colOff>819150</xdr:colOff>
                    <xdr:row>2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T26"/>
  <sheetViews>
    <sheetView topLeftCell="A11" zoomScaleNormal="100" workbookViewId="0">
      <selection activeCell="A14" sqref="A14"/>
    </sheetView>
  </sheetViews>
  <sheetFormatPr baseColWidth="10" defaultRowHeight="15" x14ac:dyDescent="0.25"/>
  <cols>
    <col min="1" max="1" width="5.85546875" style="1" bestFit="1" customWidth="1"/>
    <col min="2" max="2" width="16" style="1" customWidth="1"/>
    <col min="3" max="3" width="7.140625" style="1" customWidth="1"/>
    <col min="4" max="4" width="18.7109375" style="5" customWidth="1"/>
    <col min="5" max="8" width="12.7109375" style="18" customWidth="1"/>
    <col min="9" max="12" width="21.140625" style="2" customWidth="1"/>
    <col min="13" max="13" width="5.7109375" style="3" customWidth="1"/>
    <col min="14" max="15" width="4.85546875" style="11" customWidth="1"/>
    <col min="16" max="16" width="4.28515625" style="11" customWidth="1"/>
    <col min="17" max="17" width="11.42578125" style="54"/>
    <col min="19" max="20" width="5.7109375" customWidth="1"/>
  </cols>
  <sheetData>
    <row r="1" spans="1:20" x14ac:dyDescent="0.25">
      <c r="A1" s="4" t="s">
        <v>1</v>
      </c>
      <c r="B1" s="4" t="s">
        <v>2</v>
      </c>
      <c r="C1" s="4" t="s">
        <v>3</v>
      </c>
      <c r="D1" s="22" t="s">
        <v>4</v>
      </c>
      <c r="E1" s="22" t="s">
        <v>5</v>
      </c>
      <c r="F1" s="22" t="s">
        <v>0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2" t="s">
        <v>11</v>
      </c>
      <c r="M1" s="4" t="s">
        <v>12</v>
      </c>
      <c r="N1" s="4" t="s">
        <v>24</v>
      </c>
      <c r="O1" s="4" t="s">
        <v>19</v>
      </c>
      <c r="P1" s="4" t="s">
        <v>18</v>
      </c>
      <c r="Q1" s="53" t="s">
        <v>26</v>
      </c>
      <c r="R1" s="4" t="s">
        <v>33</v>
      </c>
      <c r="S1" s="4" t="s">
        <v>36</v>
      </c>
      <c r="T1" s="4" t="s">
        <v>37</v>
      </c>
    </row>
    <row r="2" spans="1:20" ht="51" customHeight="1" x14ac:dyDescent="0.25">
      <c r="A2" s="1">
        <v>1</v>
      </c>
      <c r="B2" s="1" t="s">
        <v>74</v>
      </c>
      <c r="C2" s="1" t="s">
        <v>21</v>
      </c>
      <c r="D2" s="5" t="s">
        <v>75</v>
      </c>
      <c r="E2" s="18" t="s">
        <v>76</v>
      </c>
      <c r="F2" s="18" t="s">
        <v>77</v>
      </c>
      <c r="G2" s="18" t="s">
        <v>78</v>
      </c>
      <c r="H2" s="18" t="s">
        <v>79</v>
      </c>
      <c r="I2" s="2" t="s">
        <v>80</v>
      </c>
      <c r="J2" s="2" t="s">
        <v>81</v>
      </c>
      <c r="K2" s="2" t="s">
        <v>82</v>
      </c>
      <c r="L2" s="2" t="s">
        <v>83</v>
      </c>
      <c r="M2" s="3" t="s">
        <v>6</v>
      </c>
      <c r="N2" s="11">
        <v>0</v>
      </c>
      <c r="O2" s="11">
        <v>0</v>
      </c>
      <c r="P2" s="11">
        <v>0</v>
      </c>
      <c r="Q2" s="54" t="s">
        <v>233</v>
      </c>
      <c r="R2" s="11">
        <v>0</v>
      </c>
      <c r="S2" s="11">
        <v>0</v>
      </c>
      <c r="T2" s="11">
        <v>0</v>
      </c>
    </row>
    <row r="3" spans="1:20" ht="45" customHeight="1" x14ac:dyDescent="0.25">
      <c r="A3" s="1">
        <v>1</v>
      </c>
      <c r="B3" s="1" t="s">
        <v>64</v>
      </c>
      <c r="C3" s="1" t="s">
        <v>21</v>
      </c>
      <c r="D3" s="5" t="s">
        <v>65</v>
      </c>
      <c r="E3" s="18" t="s">
        <v>66</v>
      </c>
      <c r="F3" s="18" t="s">
        <v>67</v>
      </c>
      <c r="G3" s="18" t="s">
        <v>68</v>
      </c>
      <c r="H3" s="18" t="s">
        <v>69</v>
      </c>
      <c r="I3" s="2" t="s">
        <v>70</v>
      </c>
      <c r="J3" s="2" t="s">
        <v>71</v>
      </c>
      <c r="K3" s="2" t="s">
        <v>72</v>
      </c>
      <c r="L3" s="2" t="s">
        <v>73</v>
      </c>
      <c r="M3" s="3" t="s">
        <v>0</v>
      </c>
      <c r="N3" s="11">
        <v>0</v>
      </c>
      <c r="O3" s="11">
        <v>0</v>
      </c>
      <c r="P3" s="11">
        <v>0</v>
      </c>
      <c r="Q3" s="54" t="s">
        <v>233</v>
      </c>
      <c r="R3" s="11">
        <v>0</v>
      </c>
      <c r="S3" s="11">
        <v>0</v>
      </c>
      <c r="T3" s="11">
        <v>0</v>
      </c>
    </row>
    <row r="4" spans="1:20" ht="120" x14ac:dyDescent="0.25">
      <c r="A4" s="1">
        <v>1</v>
      </c>
      <c r="B4" s="1" t="s">
        <v>44</v>
      </c>
      <c r="C4" s="1" t="s">
        <v>21</v>
      </c>
      <c r="D4" s="5" t="s">
        <v>45</v>
      </c>
      <c r="E4" s="18" t="s">
        <v>46</v>
      </c>
      <c r="F4" s="18" t="s">
        <v>47</v>
      </c>
      <c r="G4" s="18" t="s">
        <v>48</v>
      </c>
      <c r="H4" s="18" t="s">
        <v>49</v>
      </c>
      <c r="I4" s="2" t="s">
        <v>50</v>
      </c>
      <c r="J4" s="2" t="s">
        <v>51</v>
      </c>
      <c r="K4" s="2" t="s">
        <v>52</v>
      </c>
      <c r="L4" s="2" t="s">
        <v>53</v>
      </c>
      <c r="M4" s="3" t="s">
        <v>0</v>
      </c>
      <c r="N4" s="11">
        <v>0</v>
      </c>
      <c r="O4" s="11">
        <v>0</v>
      </c>
      <c r="P4" s="11">
        <v>0</v>
      </c>
      <c r="Q4" s="54" t="s">
        <v>233</v>
      </c>
      <c r="R4" s="11">
        <v>0</v>
      </c>
      <c r="S4" s="11">
        <v>0</v>
      </c>
      <c r="T4" s="11">
        <v>0</v>
      </c>
    </row>
    <row r="5" spans="1:20" ht="120" x14ac:dyDescent="0.25">
      <c r="A5" s="1">
        <v>1</v>
      </c>
      <c r="B5" s="1" t="s">
        <v>54</v>
      </c>
      <c r="C5" s="1" t="s">
        <v>21</v>
      </c>
      <c r="D5" s="5" t="s">
        <v>55</v>
      </c>
      <c r="E5" s="18" t="s">
        <v>56</v>
      </c>
      <c r="F5" s="18" t="s">
        <v>57</v>
      </c>
      <c r="G5" s="18" t="s">
        <v>58</v>
      </c>
      <c r="H5" s="18" t="s">
        <v>59</v>
      </c>
      <c r="I5" s="2" t="s">
        <v>60</v>
      </c>
      <c r="J5" s="2" t="s">
        <v>61</v>
      </c>
      <c r="K5" s="2" t="s">
        <v>62</v>
      </c>
      <c r="L5" s="2" t="s">
        <v>63</v>
      </c>
      <c r="M5" s="3" t="s">
        <v>6</v>
      </c>
      <c r="N5" s="11">
        <v>0</v>
      </c>
      <c r="O5" s="11">
        <v>0</v>
      </c>
      <c r="P5" s="11">
        <v>0</v>
      </c>
      <c r="Q5" s="54" t="s">
        <v>233</v>
      </c>
      <c r="R5" s="11">
        <v>0</v>
      </c>
      <c r="S5" s="11">
        <v>0</v>
      </c>
      <c r="T5" s="11">
        <v>0</v>
      </c>
    </row>
    <row r="6" spans="1:20" ht="120" x14ac:dyDescent="0.25">
      <c r="A6" s="1">
        <v>1</v>
      </c>
      <c r="B6" s="1" t="s">
        <v>84</v>
      </c>
      <c r="C6" s="1" t="s">
        <v>21</v>
      </c>
      <c r="D6" s="5" t="s">
        <v>85</v>
      </c>
      <c r="E6" s="18" t="s">
        <v>86</v>
      </c>
      <c r="F6" s="18" t="s">
        <v>87</v>
      </c>
      <c r="G6" s="18" t="s">
        <v>88</v>
      </c>
      <c r="H6" s="18" t="s">
        <v>89</v>
      </c>
      <c r="I6" s="2" t="s">
        <v>90</v>
      </c>
      <c r="J6" s="2" t="s">
        <v>90</v>
      </c>
      <c r="K6" s="2" t="s">
        <v>91</v>
      </c>
      <c r="L6" s="2" t="s">
        <v>90</v>
      </c>
      <c r="M6" s="3" t="s">
        <v>6</v>
      </c>
      <c r="N6" s="11">
        <v>0</v>
      </c>
      <c r="O6" s="11">
        <v>0</v>
      </c>
      <c r="P6" s="11">
        <v>0</v>
      </c>
      <c r="Q6" s="54" t="s">
        <v>233</v>
      </c>
      <c r="R6" s="11">
        <v>0</v>
      </c>
      <c r="S6" s="11">
        <v>0</v>
      </c>
      <c r="T6" s="11">
        <v>0</v>
      </c>
    </row>
    <row r="7" spans="1:20" ht="120" x14ac:dyDescent="0.25">
      <c r="A7" s="1">
        <v>1</v>
      </c>
      <c r="B7" s="1" t="s">
        <v>843</v>
      </c>
      <c r="C7" s="1" t="s">
        <v>21</v>
      </c>
      <c r="D7" s="5" t="s">
        <v>844</v>
      </c>
      <c r="E7" s="18" t="s">
        <v>845</v>
      </c>
      <c r="F7" s="18" t="s">
        <v>846</v>
      </c>
      <c r="G7" s="18" t="s">
        <v>847</v>
      </c>
      <c r="H7" s="18" t="s">
        <v>848</v>
      </c>
      <c r="I7" s="2" t="s">
        <v>849</v>
      </c>
      <c r="J7" s="2" t="s">
        <v>850</v>
      </c>
      <c r="K7" s="2" t="s">
        <v>851</v>
      </c>
      <c r="L7" s="2" t="s">
        <v>852</v>
      </c>
      <c r="M7" s="3" t="s">
        <v>0</v>
      </c>
      <c r="N7" s="11">
        <v>0</v>
      </c>
      <c r="O7" s="11">
        <v>0</v>
      </c>
      <c r="P7" s="11">
        <v>0</v>
      </c>
      <c r="Q7" s="54" t="s">
        <v>233</v>
      </c>
      <c r="R7" s="11">
        <v>0</v>
      </c>
      <c r="S7" s="11">
        <v>0</v>
      </c>
      <c r="T7" s="11">
        <v>0</v>
      </c>
    </row>
    <row r="8" spans="1:20" ht="120" x14ac:dyDescent="0.25">
      <c r="A8" s="1">
        <v>2</v>
      </c>
      <c r="B8" s="1" t="s">
        <v>853</v>
      </c>
      <c r="C8" s="1" t="s">
        <v>21</v>
      </c>
      <c r="D8" s="5" t="s">
        <v>854</v>
      </c>
      <c r="E8" s="18" t="s">
        <v>855</v>
      </c>
      <c r="F8" s="18" t="s">
        <v>856</v>
      </c>
      <c r="G8" s="18" t="s">
        <v>857</v>
      </c>
      <c r="H8" s="18" t="s">
        <v>858</v>
      </c>
      <c r="I8" s="2" t="s">
        <v>859</v>
      </c>
      <c r="J8" s="2" t="s">
        <v>860</v>
      </c>
      <c r="K8" s="2" t="s">
        <v>861</v>
      </c>
      <c r="L8" s="2" t="s">
        <v>862</v>
      </c>
      <c r="M8" s="3" t="s">
        <v>6</v>
      </c>
      <c r="N8" s="11">
        <v>0</v>
      </c>
      <c r="O8" s="11">
        <v>0</v>
      </c>
      <c r="P8" s="11">
        <v>0</v>
      </c>
      <c r="Q8" s="54" t="s">
        <v>233</v>
      </c>
      <c r="R8" s="11">
        <v>0</v>
      </c>
      <c r="S8" s="11">
        <v>0</v>
      </c>
      <c r="T8" s="11">
        <v>0</v>
      </c>
    </row>
    <row r="9" spans="1:20" ht="120" x14ac:dyDescent="0.25">
      <c r="A9" s="1">
        <v>3</v>
      </c>
      <c r="B9" s="1" t="s">
        <v>863</v>
      </c>
      <c r="C9" s="1" t="s">
        <v>21</v>
      </c>
      <c r="D9" s="5" t="s">
        <v>864</v>
      </c>
      <c r="E9" s="18" t="s">
        <v>865</v>
      </c>
      <c r="F9" s="18" t="s">
        <v>866</v>
      </c>
      <c r="G9" s="18" t="s">
        <v>867</v>
      </c>
      <c r="H9" s="18" t="s">
        <v>868</v>
      </c>
      <c r="I9" s="2" t="s">
        <v>869</v>
      </c>
      <c r="J9" s="2" t="s">
        <v>870</v>
      </c>
      <c r="K9" s="2" t="s">
        <v>871</v>
      </c>
      <c r="L9" s="2" t="s">
        <v>872</v>
      </c>
      <c r="M9" s="3" t="s">
        <v>0</v>
      </c>
      <c r="N9" s="11">
        <v>0</v>
      </c>
      <c r="O9" s="11">
        <v>0</v>
      </c>
      <c r="P9" s="11">
        <v>0</v>
      </c>
      <c r="Q9" s="54" t="s">
        <v>233</v>
      </c>
      <c r="R9" s="11">
        <v>0</v>
      </c>
      <c r="S9" s="11">
        <v>0</v>
      </c>
      <c r="T9" s="11">
        <v>0</v>
      </c>
    </row>
    <row r="10" spans="1:20" ht="120" x14ac:dyDescent="0.25">
      <c r="A10" s="1">
        <v>4</v>
      </c>
      <c r="B10" s="1" t="s">
        <v>873</v>
      </c>
      <c r="C10" s="1" t="s">
        <v>21</v>
      </c>
      <c r="D10" s="5" t="s">
        <v>874</v>
      </c>
      <c r="E10" s="18" t="s">
        <v>875</v>
      </c>
      <c r="F10" s="18" t="s">
        <v>876</v>
      </c>
      <c r="G10" s="18" t="s">
        <v>76</v>
      </c>
      <c r="H10" s="18" t="s">
        <v>77</v>
      </c>
      <c r="I10" s="2" t="s">
        <v>877</v>
      </c>
      <c r="J10" s="2" t="s">
        <v>878</v>
      </c>
      <c r="K10" s="2" t="s">
        <v>879</v>
      </c>
      <c r="L10" s="2" t="s">
        <v>880</v>
      </c>
      <c r="M10" s="3" t="s">
        <v>6</v>
      </c>
      <c r="N10" s="11">
        <v>0</v>
      </c>
      <c r="O10" s="11">
        <v>0</v>
      </c>
      <c r="P10" s="11">
        <v>0</v>
      </c>
      <c r="Q10" s="54" t="s">
        <v>233</v>
      </c>
      <c r="R10" s="11">
        <v>0</v>
      </c>
      <c r="S10" s="11">
        <v>0</v>
      </c>
      <c r="T10" s="11">
        <v>0</v>
      </c>
    </row>
    <row r="11" spans="1:20" ht="120" x14ac:dyDescent="0.25">
      <c r="A11" s="1">
        <v>5</v>
      </c>
      <c r="B11" s="1" t="s">
        <v>881</v>
      </c>
      <c r="C11" s="1" t="s">
        <v>21</v>
      </c>
      <c r="D11" s="5" t="s">
        <v>882</v>
      </c>
      <c r="E11" s="18" t="s">
        <v>883</v>
      </c>
      <c r="F11" s="18" t="s">
        <v>884</v>
      </c>
      <c r="G11" s="18" t="s">
        <v>885</v>
      </c>
      <c r="H11" s="18" t="s">
        <v>886</v>
      </c>
      <c r="I11" s="2" t="s">
        <v>887</v>
      </c>
      <c r="J11" s="2" t="s">
        <v>888</v>
      </c>
      <c r="K11" s="2" t="s">
        <v>117</v>
      </c>
      <c r="L11" s="2" t="s">
        <v>889</v>
      </c>
      <c r="M11" s="3" t="s">
        <v>6</v>
      </c>
      <c r="N11" s="11">
        <v>0</v>
      </c>
      <c r="O11" s="11">
        <v>0</v>
      </c>
      <c r="P11" s="11">
        <v>0</v>
      </c>
      <c r="Q11" s="54" t="s">
        <v>233</v>
      </c>
      <c r="R11" s="11">
        <v>0</v>
      </c>
      <c r="S11" s="11">
        <v>0</v>
      </c>
      <c r="T11" s="11">
        <v>0</v>
      </c>
    </row>
    <row r="12" spans="1:20" ht="120" x14ac:dyDescent="0.25">
      <c r="A12" s="1">
        <v>6</v>
      </c>
      <c r="B12" s="1" t="s">
        <v>890</v>
      </c>
      <c r="C12" s="1" t="s">
        <v>21</v>
      </c>
      <c r="D12" s="5" t="s">
        <v>891</v>
      </c>
      <c r="E12" s="18" t="s">
        <v>892</v>
      </c>
      <c r="F12" s="18" t="s">
        <v>893</v>
      </c>
      <c r="G12" s="18" t="s">
        <v>894</v>
      </c>
      <c r="H12" s="18" t="s">
        <v>895</v>
      </c>
      <c r="I12" s="2" t="s">
        <v>896</v>
      </c>
      <c r="J12" s="2" t="s">
        <v>897</v>
      </c>
      <c r="K12" s="2" t="s">
        <v>898</v>
      </c>
      <c r="L12" s="2" t="s">
        <v>899</v>
      </c>
      <c r="M12" s="3" t="s">
        <v>0</v>
      </c>
      <c r="N12" s="11">
        <v>0</v>
      </c>
      <c r="O12" s="11">
        <v>0</v>
      </c>
      <c r="P12" s="11">
        <v>0</v>
      </c>
      <c r="Q12" s="54" t="s">
        <v>233</v>
      </c>
      <c r="R12" s="11">
        <v>0</v>
      </c>
      <c r="S12" s="11">
        <v>0</v>
      </c>
      <c r="T12" s="11">
        <v>0</v>
      </c>
    </row>
    <row r="13" spans="1:20" ht="120" x14ac:dyDescent="0.25">
      <c r="A13" s="1">
        <v>7</v>
      </c>
      <c r="B13" s="1" t="s">
        <v>900</v>
      </c>
      <c r="C13" s="1" t="s">
        <v>21</v>
      </c>
      <c r="D13" s="5" t="s">
        <v>901</v>
      </c>
      <c r="E13" s="18" t="s">
        <v>902</v>
      </c>
      <c r="F13" s="18" t="s">
        <v>903</v>
      </c>
      <c r="G13" s="18" t="s">
        <v>904</v>
      </c>
      <c r="H13" s="18" t="s">
        <v>905</v>
      </c>
      <c r="I13" s="2" t="s">
        <v>906</v>
      </c>
      <c r="J13" s="2" t="s">
        <v>907</v>
      </c>
      <c r="K13" s="2" t="s">
        <v>908</v>
      </c>
      <c r="L13" s="2" t="s">
        <v>909</v>
      </c>
      <c r="M13" s="3" t="s">
        <v>7</v>
      </c>
      <c r="N13" s="11">
        <v>0</v>
      </c>
      <c r="O13" s="11">
        <v>0</v>
      </c>
      <c r="P13" s="11">
        <v>0</v>
      </c>
      <c r="Q13" s="54" t="s">
        <v>233</v>
      </c>
      <c r="R13" s="11">
        <v>0</v>
      </c>
      <c r="S13" s="11">
        <v>0</v>
      </c>
      <c r="T13" s="11">
        <v>0</v>
      </c>
    </row>
    <row r="14" spans="1:20" ht="120" x14ac:dyDescent="0.25">
      <c r="A14" s="1">
        <v>8</v>
      </c>
      <c r="B14" s="1" t="s">
        <v>910</v>
      </c>
      <c r="C14" s="1" t="s">
        <v>21</v>
      </c>
      <c r="D14" s="5" t="s">
        <v>911</v>
      </c>
      <c r="E14" s="18" t="s">
        <v>912</v>
      </c>
      <c r="F14" s="18" t="s">
        <v>913</v>
      </c>
      <c r="G14" s="18" t="s">
        <v>914</v>
      </c>
      <c r="H14" s="18" t="s">
        <v>915</v>
      </c>
      <c r="I14" s="2" t="s">
        <v>916</v>
      </c>
      <c r="J14" s="2" t="s">
        <v>917</v>
      </c>
      <c r="K14" s="2" t="s">
        <v>918</v>
      </c>
      <c r="L14" s="2" t="s">
        <v>919</v>
      </c>
      <c r="M14" s="3" t="s">
        <v>6</v>
      </c>
      <c r="N14" s="11">
        <v>0</v>
      </c>
      <c r="O14" s="11">
        <v>0</v>
      </c>
      <c r="P14" s="11">
        <v>0</v>
      </c>
      <c r="Q14" s="54" t="s">
        <v>233</v>
      </c>
      <c r="R14" s="11">
        <v>0</v>
      </c>
      <c r="S14" s="11">
        <v>0</v>
      </c>
      <c r="T14" s="11">
        <v>0</v>
      </c>
    </row>
    <row r="15" spans="1:20" ht="120" x14ac:dyDescent="0.25">
      <c r="A15" s="1">
        <v>9</v>
      </c>
      <c r="B15" s="1" t="s">
        <v>920</v>
      </c>
      <c r="C15" s="1" t="s">
        <v>21</v>
      </c>
      <c r="D15" s="5" t="s">
        <v>921</v>
      </c>
      <c r="E15" s="18" t="s">
        <v>922</v>
      </c>
      <c r="F15" s="18" t="s">
        <v>923</v>
      </c>
      <c r="G15" s="18" t="s">
        <v>924</v>
      </c>
      <c r="H15" s="18" t="s">
        <v>925</v>
      </c>
      <c r="I15" s="2" t="s">
        <v>926</v>
      </c>
      <c r="J15" s="2" t="s">
        <v>927</v>
      </c>
      <c r="K15" s="2" t="s">
        <v>928</v>
      </c>
      <c r="L15" s="2" t="s">
        <v>929</v>
      </c>
      <c r="M15" s="3" t="s">
        <v>0</v>
      </c>
      <c r="N15" s="11">
        <v>0</v>
      </c>
      <c r="O15" s="11">
        <v>0</v>
      </c>
      <c r="P15" s="11">
        <v>0</v>
      </c>
      <c r="Q15" s="54" t="s">
        <v>233</v>
      </c>
      <c r="R15" s="11">
        <v>0</v>
      </c>
      <c r="S15" s="11">
        <v>0</v>
      </c>
      <c r="T15" s="11">
        <v>0</v>
      </c>
    </row>
    <row r="16" spans="1:20" ht="120" x14ac:dyDescent="0.25">
      <c r="A16" s="1">
        <v>10</v>
      </c>
      <c r="B16" s="1" t="s">
        <v>930</v>
      </c>
      <c r="C16" s="1" t="s">
        <v>21</v>
      </c>
      <c r="D16" s="5" t="s">
        <v>931</v>
      </c>
      <c r="E16" s="18" t="s">
        <v>932</v>
      </c>
      <c r="F16" s="18" t="s">
        <v>933</v>
      </c>
      <c r="G16" s="18" t="s">
        <v>934</v>
      </c>
      <c r="H16" s="18" t="s">
        <v>935</v>
      </c>
      <c r="I16" s="2" t="s">
        <v>936</v>
      </c>
      <c r="J16" s="2" t="s">
        <v>937</v>
      </c>
      <c r="K16" s="2" t="s">
        <v>938</v>
      </c>
      <c r="L16" s="2" t="s">
        <v>939</v>
      </c>
      <c r="M16" s="3" t="s">
        <v>0</v>
      </c>
      <c r="N16" s="11">
        <v>0</v>
      </c>
      <c r="O16" s="11">
        <v>0</v>
      </c>
      <c r="P16" s="11">
        <v>0</v>
      </c>
      <c r="Q16" s="54" t="s">
        <v>233</v>
      </c>
      <c r="R16" s="11">
        <v>0</v>
      </c>
      <c r="S16" s="11">
        <v>0</v>
      </c>
      <c r="T16" s="11">
        <v>0</v>
      </c>
    </row>
    <row r="17" spans="1:20" ht="120" x14ac:dyDescent="0.25">
      <c r="A17" s="1">
        <v>11</v>
      </c>
      <c r="B17" s="1" t="s">
        <v>940</v>
      </c>
      <c r="C17" s="1" t="s">
        <v>21</v>
      </c>
      <c r="D17" s="5" t="s">
        <v>941</v>
      </c>
      <c r="E17" s="18" t="s">
        <v>942</v>
      </c>
      <c r="F17" s="18" t="s">
        <v>943</v>
      </c>
      <c r="G17" s="18" t="s">
        <v>944</v>
      </c>
      <c r="H17" s="18" t="s">
        <v>945</v>
      </c>
      <c r="I17" s="2" t="s">
        <v>862</v>
      </c>
      <c r="J17" s="2" t="s">
        <v>862</v>
      </c>
      <c r="K17" s="2" t="s">
        <v>117</v>
      </c>
      <c r="L17" s="2" t="s">
        <v>946</v>
      </c>
      <c r="M17" s="3" t="s">
        <v>6</v>
      </c>
      <c r="N17" s="11">
        <v>0</v>
      </c>
      <c r="O17" s="11">
        <v>0</v>
      </c>
      <c r="P17" s="11">
        <v>0</v>
      </c>
      <c r="Q17" s="54" t="s">
        <v>233</v>
      </c>
      <c r="R17" s="11">
        <v>0</v>
      </c>
      <c r="S17" s="11">
        <v>0</v>
      </c>
      <c r="T17" s="11">
        <v>0</v>
      </c>
    </row>
    <row r="18" spans="1:20" ht="120" x14ac:dyDescent="0.25">
      <c r="A18" s="1">
        <v>12</v>
      </c>
      <c r="B18" s="1" t="s">
        <v>947</v>
      </c>
      <c r="C18" s="1" t="s">
        <v>21</v>
      </c>
      <c r="D18" s="5" t="s">
        <v>948</v>
      </c>
      <c r="E18" s="18" t="s">
        <v>949</v>
      </c>
      <c r="F18" s="18" t="s">
        <v>950</v>
      </c>
      <c r="G18" s="18" t="s">
        <v>951</v>
      </c>
      <c r="H18" s="18" t="s">
        <v>952</v>
      </c>
      <c r="I18" s="2" t="s">
        <v>953</v>
      </c>
      <c r="J18" s="2" t="s">
        <v>954</v>
      </c>
      <c r="K18" s="2" t="s">
        <v>955</v>
      </c>
      <c r="L18" s="2" t="s">
        <v>956</v>
      </c>
      <c r="M18" s="3" t="s">
        <v>7</v>
      </c>
      <c r="N18" s="11">
        <v>0</v>
      </c>
      <c r="O18" s="11">
        <v>0</v>
      </c>
      <c r="P18" s="11">
        <v>0</v>
      </c>
      <c r="Q18" s="54" t="s">
        <v>233</v>
      </c>
      <c r="R18" s="11">
        <v>0</v>
      </c>
      <c r="S18" s="11">
        <v>0</v>
      </c>
      <c r="T18" s="11">
        <v>0</v>
      </c>
    </row>
    <row r="19" spans="1:20" ht="120" x14ac:dyDescent="0.25">
      <c r="A19" s="1">
        <v>13</v>
      </c>
      <c r="B19" s="1" t="s">
        <v>957</v>
      </c>
      <c r="C19" s="1" t="s">
        <v>21</v>
      </c>
      <c r="D19" s="5" t="s">
        <v>958</v>
      </c>
      <c r="E19" s="18" t="s">
        <v>913</v>
      </c>
      <c r="F19" s="18" t="s">
        <v>959</v>
      </c>
      <c r="G19" s="18" t="s">
        <v>960</v>
      </c>
      <c r="H19" s="18" t="s">
        <v>912</v>
      </c>
      <c r="I19" s="2" t="s">
        <v>961</v>
      </c>
      <c r="J19" s="2" t="s">
        <v>117</v>
      </c>
      <c r="K19" s="2" t="s">
        <v>962</v>
      </c>
      <c r="L19" s="2" t="s">
        <v>916</v>
      </c>
      <c r="M19" s="3" t="s">
        <v>0</v>
      </c>
      <c r="N19" s="11">
        <v>0</v>
      </c>
      <c r="O19" s="11">
        <v>0</v>
      </c>
      <c r="P19" s="11">
        <v>0</v>
      </c>
      <c r="Q19" s="54" t="s">
        <v>233</v>
      </c>
      <c r="R19" s="11">
        <v>0</v>
      </c>
      <c r="S19" s="11">
        <v>0</v>
      </c>
      <c r="T19" s="11">
        <v>0</v>
      </c>
    </row>
    <row r="20" spans="1:20" ht="120" x14ac:dyDescent="0.25">
      <c r="A20" s="1">
        <v>14</v>
      </c>
      <c r="B20" s="1" t="s">
        <v>963</v>
      </c>
      <c r="C20" s="1" t="s">
        <v>21</v>
      </c>
      <c r="D20" s="5" t="s">
        <v>964</v>
      </c>
      <c r="E20" s="18" t="s">
        <v>77</v>
      </c>
      <c r="F20" s="18" t="s">
        <v>79</v>
      </c>
      <c r="G20" s="18" t="s">
        <v>78</v>
      </c>
      <c r="H20" s="18" t="s">
        <v>965</v>
      </c>
      <c r="I20" s="2" t="s">
        <v>966</v>
      </c>
      <c r="J20" s="2" t="s">
        <v>967</v>
      </c>
      <c r="K20" s="2" t="s">
        <v>968</v>
      </c>
      <c r="L20" s="2" t="s">
        <v>969</v>
      </c>
      <c r="M20" s="3" t="s">
        <v>6</v>
      </c>
      <c r="N20" s="11">
        <v>0</v>
      </c>
      <c r="O20" s="11">
        <v>0</v>
      </c>
      <c r="P20" s="11">
        <v>0</v>
      </c>
      <c r="Q20" s="54" t="s">
        <v>233</v>
      </c>
      <c r="R20" s="11">
        <v>0</v>
      </c>
      <c r="S20" s="11">
        <v>0</v>
      </c>
      <c r="T20" s="11">
        <v>0</v>
      </c>
    </row>
    <row r="21" spans="1:20" ht="120" x14ac:dyDescent="0.25">
      <c r="A21" s="1">
        <v>15</v>
      </c>
      <c r="B21" s="1" t="s">
        <v>970</v>
      </c>
      <c r="C21" s="1" t="s">
        <v>21</v>
      </c>
      <c r="D21" s="5" t="s">
        <v>971</v>
      </c>
      <c r="E21" s="18" t="s">
        <v>972</v>
      </c>
      <c r="F21" s="18" t="s">
        <v>973</v>
      </c>
      <c r="G21" s="18" t="s">
        <v>974</v>
      </c>
      <c r="H21" s="18" t="s">
        <v>975</v>
      </c>
      <c r="I21" s="2" t="s">
        <v>976</v>
      </c>
      <c r="J21" s="2" t="s">
        <v>977</v>
      </c>
      <c r="K21" s="2" t="s">
        <v>117</v>
      </c>
      <c r="L21" s="2" t="s">
        <v>978</v>
      </c>
      <c r="M21" s="3" t="s">
        <v>6</v>
      </c>
      <c r="N21" s="11">
        <v>0</v>
      </c>
      <c r="O21" s="11">
        <v>0</v>
      </c>
      <c r="P21" s="11">
        <v>0</v>
      </c>
      <c r="Q21" s="54" t="s">
        <v>233</v>
      </c>
      <c r="R21" s="11">
        <v>0</v>
      </c>
      <c r="S21" s="11">
        <v>0</v>
      </c>
      <c r="T21" s="11">
        <v>0</v>
      </c>
    </row>
    <row r="22" spans="1:20" ht="120" x14ac:dyDescent="0.25">
      <c r="A22" s="1">
        <v>16</v>
      </c>
      <c r="B22" s="1" t="s">
        <v>979</v>
      </c>
      <c r="C22" s="1" t="s">
        <v>21</v>
      </c>
      <c r="D22" s="5" t="s">
        <v>980</v>
      </c>
      <c r="E22" s="18" t="s">
        <v>981</v>
      </c>
      <c r="F22" s="18" t="s">
        <v>982</v>
      </c>
      <c r="G22" s="18" t="s">
        <v>983</v>
      </c>
      <c r="H22" s="18" t="s">
        <v>984</v>
      </c>
      <c r="I22" s="2" t="s">
        <v>985</v>
      </c>
      <c r="J22" s="2" t="s">
        <v>117</v>
      </c>
      <c r="K22" s="2" t="s">
        <v>986</v>
      </c>
      <c r="L22" s="2" t="s">
        <v>987</v>
      </c>
      <c r="M22" s="3" t="s">
        <v>0</v>
      </c>
      <c r="N22" s="11">
        <v>0</v>
      </c>
      <c r="O22" s="11">
        <v>0</v>
      </c>
      <c r="P22" s="11">
        <v>0</v>
      </c>
      <c r="Q22" s="54" t="s">
        <v>233</v>
      </c>
      <c r="R22" s="11">
        <v>0</v>
      </c>
      <c r="S22" s="11">
        <v>0</v>
      </c>
      <c r="T22" s="11">
        <v>0</v>
      </c>
    </row>
    <row r="23" spans="1:20" ht="120" x14ac:dyDescent="0.25">
      <c r="A23" s="1">
        <v>17</v>
      </c>
      <c r="B23" s="1" t="s">
        <v>988</v>
      </c>
      <c r="C23" s="1" t="s">
        <v>21</v>
      </c>
      <c r="D23" s="5" t="s">
        <v>989</v>
      </c>
      <c r="E23" s="18" t="s">
        <v>949</v>
      </c>
      <c r="F23" s="18" t="s">
        <v>990</v>
      </c>
      <c r="G23" s="18" t="s">
        <v>991</v>
      </c>
      <c r="H23" s="18" t="s">
        <v>992</v>
      </c>
      <c r="I23" s="2" t="s">
        <v>993</v>
      </c>
      <c r="J23" s="2" t="s">
        <v>994</v>
      </c>
      <c r="K23" s="2" t="s">
        <v>995</v>
      </c>
      <c r="L23" s="2" t="s">
        <v>996</v>
      </c>
      <c r="M23" s="3" t="s">
        <v>0</v>
      </c>
      <c r="N23" s="11">
        <v>0</v>
      </c>
      <c r="O23" s="11">
        <v>0</v>
      </c>
      <c r="P23" s="11">
        <v>0</v>
      </c>
      <c r="Q23" s="54" t="s">
        <v>233</v>
      </c>
      <c r="R23" s="11">
        <v>0</v>
      </c>
      <c r="S23" s="11">
        <v>0</v>
      </c>
      <c r="T23" s="11">
        <v>0</v>
      </c>
    </row>
    <row r="24" spans="1:20" ht="120" x14ac:dyDescent="0.25">
      <c r="A24" s="1">
        <v>18</v>
      </c>
      <c r="B24" s="1" t="s">
        <v>997</v>
      </c>
      <c r="C24" s="1" t="s">
        <v>21</v>
      </c>
      <c r="D24" s="5" t="s">
        <v>998</v>
      </c>
      <c r="E24" s="18" t="s">
        <v>999</v>
      </c>
      <c r="F24" s="18" t="s">
        <v>1000</v>
      </c>
      <c r="G24" s="18" t="s">
        <v>1001</v>
      </c>
      <c r="H24" s="18" t="s">
        <v>1002</v>
      </c>
      <c r="I24" s="2" t="s">
        <v>1003</v>
      </c>
      <c r="J24" s="2" t="s">
        <v>1004</v>
      </c>
      <c r="K24" s="2" t="s">
        <v>117</v>
      </c>
      <c r="L24" s="2" t="s">
        <v>1005</v>
      </c>
      <c r="M24" s="3" t="s">
        <v>6</v>
      </c>
      <c r="N24" s="11">
        <v>0</v>
      </c>
      <c r="O24" s="11">
        <v>0</v>
      </c>
      <c r="P24" s="11">
        <v>0</v>
      </c>
      <c r="Q24" s="54" t="s">
        <v>233</v>
      </c>
      <c r="R24" s="11">
        <v>0</v>
      </c>
      <c r="S24" s="11">
        <v>0</v>
      </c>
      <c r="T24" s="11">
        <v>0</v>
      </c>
    </row>
    <row r="25" spans="1:20" ht="120" x14ac:dyDescent="0.25">
      <c r="A25" s="1">
        <v>19</v>
      </c>
      <c r="B25" s="1" t="s">
        <v>1006</v>
      </c>
      <c r="C25" s="1" t="s">
        <v>21</v>
      </c>
      <c r="D25" s="5" t="s">
        <v>1007</v>
      </c>
      <c r="E25" s="18" t="s">
        <v>1008</v>
      </c>
      <c r="F25" s="18" t="s">
        <v>1009</v>
      </c>
      <c r="G25" s="18" t="s">
        <v>1010</v>
      </c>
      <c r="H25" s="18" t="s">
        <v>1011</v>
      </c>
      <c r="I25" s="2" t="s">
        <v>1012</v>
      </c>
      <c r="J25" s="2" t="s">
        <v>1013</v>
      </c>
      <c r="K25" s="2" t="s">
        <v>117</v>
      </c>
      <c r="L25" s="2" t="s">
        <v>1014</v>
      </c>
      <c r="M25" s="3" t="s">
        <v>6</v>
      </c>
      <c r="N25" s="11">
        <v>0</v>
      </c>
      <c r="O25" s="11">
        <v>0</v>
      </c>
      <c r="P25" s="11">
        <v>0</v>
      </c>
      <c r="Q25" s="54" t="s">
        <v>233</v>
      </c>
      <c r="R25" s="11">
        <v>0</v>
      </c>
      <c r="S25" s="11">
        <v>0</v>
      </c>
      <c r="T25" s="11">
        <v>0</v>
      </c>
    </row>
    <row r="26" spans="1:20" ht="120" x14ac:dyDescent="0.25">
      <c r="A26" s="1">
        <v>20</v>
      </c>
      <c r="B26" s="1" t="s">
        <v>1015</v>
      </c>
      <c r="C26" s="1" t="s">
        <v>21</v>
      </c>
      <c r="D26" s="5" t="s">
        <v>1016</v>
      </c>
      <c r="E26" s="18" t="s">
        <v>1017</v>
      </c>
      <c r="F26" s="18" t="s">
        <v>1018</v>
      </c>
      <c r="G26" s="18" t="s">
        <v>1019</v>
      </c>
      <c r="H26" s="18" t="s">
        <v>1020</v>
      </c>
      <c r="I26" s="2" t="s">
        <v>1021</v>
      </c>
      <c r="J26" s="2" t="s">
        <v>1022</v>
      </c>
      <c r="K26" s="2" t="s">
        <v>117</v>
      </c>
      <c r="L26" s="2" t="s">
        <v>1023</v>
      </c>
      <c r="M26" s="3" t="s">
        <v>6</v>
      </c>
      <c r="N26" s="11">
        <v>0</v>
      </c>
      <c r="O26" s="11">
        <v>0</v>
      </c>
      <c r="P26" s="11">
        <v>0</v>
      </c>
      <c r="Q26" s="54" t="s">
        <v>233</v>
      </c>
      <c r="R26" s="11">
        <v>0</v>
      </c>
      <c r="S26" s="11">
        <v>0</v>
      </c>
      <c r="T26" s="11">
        <v>0</v>
      </c>
    </row>
  </sheetData>
  <autoFilter ref="A1:T6" xr:uid="{00000000-0001-0000-0500-000000000000}">
    <sortState xmlns:xlrd2="http://schemas.microsoft.com/office/spreadsheetml/2017/richdata2" ref="A2:T6">
      <sortCondition ref="B1:B6"/>
    </sortState>
  </autoFilter>
  <pageMargins left="0.7" right="0.7" top="0.75" bottom="0.75" header="0.3" footer="0.3"/>
  <pageSetup paperSize="9" orientation="portrait" horizontalDpi="200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P20"/>
  <sheetViews>
    <sheetView workbookViewId="0">
      <selection activeCell="K26" sqref="K26"/>
    </sheetView>
  </sheetViews>
  <sheetFormatPr baseColWidth="10" defaultRowHeight="15" x14ac:dyDescent="0.25"/>
  <sheetData>
    <row r="1" spans="1:16" x14ac:dyDescent="0.25">
      <c r="A1" s="59" t="s">
        <v>41</v>
      </c>
      <c r="B1" s="59"/>
      <c r="C1" s="59"/>
      <c r="D1" s="59"/>
      <c r="E1" s="59"/>
      <c r="F1" s="59"/>
      <c r="G1" s="59"/>
      <c r="H1" s="60" t="s">
        <v>42</v>
      </c>
      <c r="I1" s="60"/>
      <c r="J1" s="60"/>
      <c r="K1" s="60"/>
      <c r="L1" s="60"/>
      <c r="M1" s="60"/>
      <c r="N1" s="60"/>
      <c r="O1" s="60"/>
      <c r="P1" s="60"/>
    </row>
    <row r="2" spans="1:16" x14ac:dyDescent="0.25">
      <c r="A2" s="59"/>
      <c r="B2" s="59"/>
      <c r="C2" s="59"/>
      <c r="D2" s="59"/>
      <c r="E2" s="59"/>
      <c r="F2" s="59"/>
      <c r="G2" s="59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25">
      <c r="A3" s="59"/>
      <c r="B3" s="59"/>
      <c r="C3" s="59"/>
      <c r="D3" s="59"/>
      <c r="E3" s="59"/>
      <c r="F3" s="59"/>
      <c r="G3" s="59"/>
      <c r="H3" s="60"/>
      <c r="I3" s="60"/>
      <c r="J3" s="60"/>
      <c r="K3" s="60"/>
      <c r="L3" s="60"/>
      <c r="M3" s="60"/>
      <c r="N3" s="60"/>
      <c r="O3" s="60"/>
      <c r="P3" s="60"/>
    </row>
    <row r="4" spans="1:16" x14ac:dyDescent="0.25">
      <c r="A4" s="59"/>
      <c r="B4" s="59"/>
      <c r="C4" s="59"/>
      <c r="D4" s="59"/>
      <c r="E4" s="59"/>
      <c r="F4" s="59"/>
      <c r="G4" s="59"/>
      <c r="H4" s="60"/>
      <c r="I4" s="60"/>
      <c r="J4" s="60"/>
      <c r="K4" s="60"/>
      <c r="L4" s="60"/>
      <c r="M4" s="60"/>
      <c r="N4" s="60"/>
      <c r="O4" s="60"/>
      <c r="P4" s="60"/>
    </row>
    <row r="5" spans="1:16" x14ac:dyDescent="0.25">
      <c r="A5" s="59"/>
      <c r="B5" s="59"/>
      <c r="C5" s="59"/>
      <c r="D5" s="59"/>
      <c r="E5" s="59"/>
      <c r="F5" s="59"/>
      <c r="G5" s="59"/>
      <c r="H5" s="60"/>
      <c r="I5" s="60"/>
      <c r="J5" s="60"/>
      <c r="K5" s="60"/>
      <c r="L5" s="60"/>
      <c r="M5" s="60"/>
      <c r="N5" s="60"/>
      <c r="O5" s="60"/>
      <c r="P5" s="60"/>
    </row>
    <row r="6" spans="1:16" x14ac:dyDescent="0.25">
      <c r="A6" s="59"/>
      <c r="B6" s="59"/>
      <c r="C6" s="59"/>
      <c r="D6" s="59"/>
      <c r="E6" s="59"/>
      <c r="F6" s="59"/>
      <c r="G6" s="59"/>
      <c r="H6" s="60"/>
      <c r="I6" s="60"/>
      <c r="J6" s="60"/>
      <c r="K6" s="60"/>
      <c r="L6" s="60"/>
      <c r="M6" s="60"/>
      <c r="N6" s="60"/>
      <c r="O6" s="60"/>
      <c r="P6" s="60"/>
    </row>
    <row r="7" spans="1:16" x14ac:dyDescent="0.25">
      <c r="A7" s="59"/>
      <c r="B7" s="59"/>
      <c r="C7" s="59"/>
      <c r="D7" s="59"/>
      <c r="E7" s="59"/>
      <c r="F7" s="59"/>
      <c r="G7" s="59"/>
      <c r="H7" s="60"/>
      <c r="I7" s="60"/>
      <c r="J7" s="60"/>
      <c r="K7" s="60"/>
      <c r="L7" s="60"/>
      <c r="M7" s="60"/>
      <c r="N7" s="60"/>
      <c r="O7" s="60"/>
      <c r="P7" s="60"/>
    </row>
    <row r="8" spans="1:16" x14ac:dyDescent="0.25">
      <c r="A8" s="59"/>
      <c r="B8" s="59"/>
      <c r="C8" s="59"/>
      <c r="D8" s="59"/>
      <c r="E8" s="59"/>
      <c r="F8" s="59"/>
      <c r="G8" s="59"/>
      <c r="H8" s="60"/>
      <c r="I8" s="60"/>
      <c r="J8" s="60"/>
      <c r="K8" s="60"/>
      <c r="L8" s="60"/>
      <c r="M8" s="60"/>
      <c r="N8" s="60"/>
      <c r="O8" s="60"/>
      <c r="P8" s="60"/>
    </row>
    <row r="9" spans="1:16" x14ac:dyDescent="0.25">
      <c r="A9" s="59"/>
      <c r="B9" s="59"/>
      <c r="C9" s="59"/>
      <c r="D9" s="59"/>
      <c r="E9" s="59"/>
      <c r="F9" s="59"/>
      <c r="G9" s="59"/>
      <c r="H9" s="60"/>
      <c r="I9" s="60"/>
      <c r="J9" s="60"/>
      <c r="K9" s="60"/>
      <c r="L9" s="60"/>
      <c r="M9" s="60"/>
      <c r="N9" s="60"/>
      <c r="O9" s="60"/>
      <c r="P9" s="60"/>
    </row>
    <row r="10" spans="1:16" x14ac:dyDescent="0.25">
      <c r="A10" s="59"/>
      <c r="B10" s="59"/>
      <c r="C10" s="59"/>
      <c r="D10" s="59"/>
      <c r="E10" s="59"/>
      <c r="F10" s="59"/>
      <c r="G10" s="59"/>
      <c r="H10" s="60"/>
      <c r="I10" s="60"/>
      <c r="J10" s="60"/>
      <c r="K10" s="60"/>
      <c r="L10" s="60"/>
      <c r="M10" s="60"/>
      <c r="N10" s="60"/>
      <c r="O10" s="60"/>
      <c r="P10" s="60"/>
    </row>
    <row r="11" spans="1:16" x14ac:dyDescent="0.25">
      <c r="A11" s="59"/>
      <c r="B11" s="59"/>
      <c r="C11" s="59"/>
      <c r="D11" s="59"/>
      <c r="E11" s="59"/>
      <c r="F11" s="59"/>
      <c r="G11" s="59"/>
      <c r="H11" s="60"/>
      <c r="I11" s="60"/>
      <c r="J11" s="60"/>
      <c r="K11" s="60"/>
      <c r="L11" s="60"/>
      <c r="M11" s="60"/>
      <c r="N11" s="60"/>
      <c r="O11" s="60"/>
      <c r="P11" s="60"/>
    </row>
    <row r="12" spans="1:16" x14ac:dyDescent="0.25">
      <c r="A12" s="59"/>
      <c r="B12" s="59"/>
      <c r="C12" s="59"/>
      <c r="D12" s="59"/>
      <c r="E12" s="59"/>
      <c r="F12" s="59"/>
      <c r="G12" s="59"/>
      <c r="H12" s="60"/>
      <c r="I12" s="60"/>
      <c r="J12" s="60"/>
      <c r="K12" s="60"/>
      <c r="L12" s="60"/>
      <c r="M12" s="60"/>
      <c r="N12" s="60"/>
      <c r="O12" s="60"/>
      <c r="P12" s="60"/>
    </row>
    <row r="13" spans="1:16" x14ac:dyDescent="0.25">
      <c r="A13" s="59"/>
      <c r="B13" s="59"/>
      <c r="C13" s="59"/>
      <c r="D13" s="59"/>
      <c r="E13" s="59"/>
      <c r="F13" s="59"/>
      <c r="G13" s="59"/>
      <c r="H13" s="60"/>
      <c r="I13" s="60"/>
      <c r="J13" s="60"/>
      <c r="K13" s="60"/>
      <c r="L13" s="60"/>
      <c r="M13" s="60"/>
      <c r="N13" s="60"/>
      <c r="O13" s="60"/>
      <c r="P13" s="60"/>
    </row>
    <row r="14" spans="1:16" x14ac:dyDescent="0.25">
      <c r="A14" s="59"/>
      <c r="B14" s="59"/>
      <c r="C14" s="59"/>
      <c r="D14" s="59"/>
      <c r="E14" s="59"/>
      <c r="F14" s="59"/>
      <c r="G14" s="59"/>
      <c r="H14" s="60"/>
      <c r="I14" s="60"/>
      <c r="J14" s="60"/>
      <c r="K14" s="60"/>
      <c r="L14" s="60"/>
      <c r="M14" s="60"/>
      <c r="N14" s="60"/>
      <c r="O14" s="60"/>
      <c r="P14" s="60"/>
    </row>
    <row r="15" spans="1:16" x14ac:dyDescent="0.25">
      <c r="A15" s="59"/>
      <c r="B15" s="59"/>
      <c r="C15" s="59"/>
      <c r="D15" s="59"/>
      <c r="E15" s="59"/>
      <c r="F15" s="59"/>
      <c r="G15" s="59"/>
      <c r="H15" s="60"/>
      <c r="I15" s="60"/>
      <c r="J15" s="60"/>
      <c r="K15" s="60"/>
      <c r="L15" s="60"/>
      <c r="M15" s="60"/>
      <c r="N15" s="60"/>
      <c r="O15" s="60"/>
      <c r="P15" s="60"/>
    </row>
    <row r="16" spans="1:16" x14ac:dyDescent="0.25">
      <c r="A16" s="59"/>
      <c r="B16" s="59"/>
      <c r="C16" s="59"/>
      <c r="D16" s="59"/>
      <c r="E16" s="59"/>
      <c r="F16" s="59"/>
      <c r="G16" s="59"/>
      <c r="H16" s="60"/>
      <c r="I16" s="60"/>
      <c r="J16" s="60"/>
      <c r="K16" s="60"/>
      <c r="L16" s="60"/>
      <c r="M16" s="60"/>
      <c r="N16" s="60"/>
      <c r="O16" s="60"/>
      <c r="P16" s="60"/>
    </row>
    <row r="17" spans="1:16" x14ac:dyDescent="0.25">
      <c r="A17" s="101" t="s">
        <v>1044</v>
      </c>
      <c r="B17" s="59"/>
      <c r="C17" s="59"/>
      <c r="D17" s="59"/>
      <c r="E17" s="59"/>
      <c r="F17" s="59"/>
      <c r="G17" s="59"/>
      <c r="H17" s="102" t="s">
        <v>1044</v>
      </c>
      <c r="I17" s="60"/>
      <c r="J17" s="60"/>
      <c r="K17" s="60"/>
      <c r="L17" s="60"/>
      <c r="M17" s="60"/>
      <c r="N17" s="60"/>
      <c r="O17" s="60"/>
      <c r="P17" s="60"/>
    </row>
    <row r="18" spans="1:16" x14ac:dyDescent="0.25">
      <c r="A18" s="59"/>
      <c r="B18" s="59"/>
      <c r="C18" s="59"/>
      <c r="D18" s="59"/>
      <c r="E18" s="59"/>
      <c r="F18" s="59"/>
      <c r="G18" s="59"/>
      <c r="H18" s="60"/>
      <c r="I18" s="60"/>
      <c r="J18" s="60"/>
      <c r="K18" s="60"/>
      <c r="L18" s="60"/>
      <c r="M18" s="60"/>
      <c r="N18" s="60"/>
      <c r="O18" s="60"/>
      <c r="P18" s="60"/>
    </row>
    <row r="19" spans="1:16" x14ac:dyDescent="0.25">
      <c r="A19" s="59"/>
      <c r="B19" s="59"/>
      <c r="C19" s="59"/>
      <c r="D19" s="59"/>
      <c r="E19" s="59"/>
      <c r="F19" s="59"/>
      <c r="G19" s="59"/>
      <c r="H19" s="60"/>
      <c r="I19" s="60"/>
      <c r="J19" s="60"/>
      <c r="K19" s="60"/>
      <c r="L19" s="60"/>
      <c r="M19" s="60"/>
      <c r="N19" s="60"/>
      <c r="O19" s="60"/>
      <c r="P19" s="60"/>
    </row>
    <row r="20" spans="1:16" x14ac:dyDescent="0.25">
      <c r="A20" s="59"/>
      <c r="B20" s="59"/>
      <c r="C20" s="59"/>
      <c r="D20" s="59"/>
      <c r="E20" s="59"/>
      <c r="F20" s="59"/>
      <c r="G20" s="59"/>
      <c r="H20" s="60"/>
      <c r="I20" s="60"/>
      <c r="J20" s="60"/>
      <c r="K20" s="60"/>
      <c r="L20" s="60"/>
      <c r="M20" s="60"/>
      <c r="N20" s="60"/>
      <c r="O20" s="60"/>
      <c r="P20" s="60"/>
    </row>
  </sheetData>
  <hyperlinks>
    <hyperlink ref="A17" location="Pregunta!A1" display="Volver" xr:uid="{94632388-A3D4-4172-9FCC-7907799CF1EF}"/>
    <hyperlink ref="H17" location="Pregunta!A1" display="Volver" xr:uid="{FCF8C3D5-168C-465C-95B6-2AACD20572D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D31"/>
  <sheetViews>
    <sheetView zoomScale="80" zoomScaleNormal="80" workbookViewId="0"/>
  </sheetViews>
  <sheetFormatPr baseColWidth="10" defaultRowHeight="15" x14ac:dyDescent="0.25"/>
  <cols>
    <col min="1" max="1" width="9.85546875" customWidth="1"/>
    <col min="2" max="2" width="41.5703125" style="35" bestFit="1" customWidth="1"/>
    <col min="3" max="3" width="86.140625" style="34" customWidth="1"/>
    <col min="4" max="4" width="56" style="34" customWidth="1"/>
  </cols>
  <sheetData>
    <row r="1" spans="1:4" x14ac:dyDescent="0.25">
      <c r="A1" s="86" t="s">
        <v>1046</v>
      </c>
      <c r="B1" s="40" t="s">
        <v>28</v>
      </c>
      <c r="C1" s="41" t="s">
        <v>29</v>
      </c>
      <c r="D1" s="41" t="s">
        <v>30</v>
      </c>
    </row>
    <row r="2" spans="1:4" ht="30" x14ac:dyDescent="0.25">
      <c r="B2" s="45" t="s">
        <v>92</v>
      </c>
      <c r="C2" s="39" t="s">
        <v>93</v>
      </c>
      <c r="D2" s="38" t="s">
        <v>94</v>
      </c>
    </row>
    <row r="3" spans="1:4" x14ac:dyDescent="0.25">
      <c r="B3" s="45" t="s">
        <v>95</v>
      </c>
      <c r="C3" s="39" t="s">
        <v>96</v>
      </c>
      <c r="D3" s="38" t="s">
        <v>97</v>
      </c>
    </row>
    <row r="4" spans="1:4" x14ac:dyDescent="0.25">
      <c r="B4" s="46"/>
      <c r="C4" s="43"/>
      <c r="D4" s="44"/>
    </row>
    <row r="5" spans="1:4" x14ac:dyDescent="0.25">
      <c r="B5" s="46"/>
      <c r="C5" s="43"/>
      <c r="D5" s="44"/>
    </row>
    <row r="6" spans="1:4" x14ac:dyDescent="0.25">
      <c r="B6" s="45"/>
      <c r="C6" s="39"/>
      <c r="D6" s="38"/>
    </row>
    <row r="7" spans="1:4" x14ac:dyDescent="0.25">
      <c r="B7" s="45"/>
      <c r="C7" s="39"/>
      <c r="D7" s="38"/>
    </row>
    <row r="8" spans="1:4" x14ac:dyDescent="0.25">
      <c r="B8" s="45"/>
      <c r="C8" s="39"/>
      <c r="D8" s="38"/>
    </row>
    <row r="9" spans="1:4" x14ac:dyDescent="0.25">
      <c r="B9" s="42"/>
      <c r="C9" s="43"/>
      <c r="D9" s="44"/>
    </row>
    <row r="10" spans="1:4" ht="15" customHeight="1" x14ac:dyDescent="0.25">
      <c r="B10" s="45"/>
      <c r="C10" s="43"/>
      <c r="D10" s="44"/>
    </row>
    <row r="11" spans="1:4" ht="15" customHeight="1" x14ac:dyDescent="0.25">
      <c r="B11" s="37"/>
      <c r="C11" s="39"/>
      <c r="D11" s="38"/>
    </row>
    <row r="12" spans="1:4" ht="15" customHeight="1" x14ac:dyDescent="0.25">
      <c r="B12" s="37"/>
      <c r="C12" s="39"/>
      <c r="D12" s="38"/>
    </row>
    <row r="13" spans="1:4" ht="15" customHeight="1" x14ac:dyDescent="0.25">
      <c r="B13" s="37"/>
      <c r="C13" s="39"/>
      <c r="D13" s="38"/>
    </row>
    <row r="14" spans="1:4" ht="15" customHeight="1" x14ac:dyDescent="0.25">
      <c r="B14" s="37"/>
      <c r="C14" s="39"/>
      <c r="D14" s="38"/>
    </row>
    <row r="15" spans="1:4" ht="15" customHeight="1" x14ac:dyDescent="0.25">
      <c r="B15" s="37"/>
      <c r="C15" s="39"/>
      <c r="D15" s="38"/>
    </row>
    <row r="16" spans="1:4" ht="15" customHeight="1" x14ac:dyDescent="0.25">
      <c r="B16" s="37"/>
      <c r="C16" s="39"/>
      <c r="D16" s="38"/>
    </row>
    <row r="17" spans="2:4" ht="15" customHeight="1" x14ac:dyDescent="0.25">
      <c r="B17" s="37"/>
      <c r="C17" s="39"/>
      <c r="D17" s="38"/>
    </row>
    <row r="18" spans="2:4" ht="15" customHeight="1" x14ac:dyDescent="0.25">
      <c r="B18" s="37"/>
      <c r="C18" s="39"/>
      <c r="D18" s="38"/>
    </row>
    <row r="19" spans="2:4" ht="15" customHeight="1" x14ac:dyDescent="0.25">
      <c r="B19" s="37"/>
      <c r="C19" s="39"/>
      <c r="D19" s="38"/>
    </row>
    <row r="20" spans="2:4" x14ac:dyDescent="0.25">
      <c r="B20" s="37"/>
      <c r="C20" s="39"/>
      <c r="D20" s="47"/>
    </row>
    <row r="21" spans="2:4" x14ac:dyDescent="0.25">
      <c r="B21" s="48"/>
      <c r="C21" s="49"/>
      <c r="D21" s="51"/>
    </row>
    <row r="22" spans="2:4" x14ac:dyDescent="0.25">
      <c r="B22" s="48"/>
      <c r="C22" s="49"/>
      <c r="D22" s="51"/>
    </row>
    <row r="23" spans="2:4" x14ac:dyDescent="0.25">
      <c r="B23" s="48"/>
      <c r="C23" s="49"/>
      <c r="D23" s="51"/>
    </row>
    <row r="24" spans="2:4" x14ac:dyDescent="0.25">
      <c r="B24" s="48"/>
      <c r="C24" s="49"/>
      <c r="D24" s="51"/>
    </row>
    <row r="25" spans="2:4" x14ac:dyDescent="0.25">
      <c r="B25" s="48"/>
      <c r="C25" s="49"/>
      <c r="D25" s="51"/>
    </row>
    <row r="26" spans="2:4" x14ac:dyDescent="0.25">
      <c r="B26" s="48"/>
      <c r="C26" s="49"/>
      <c r="D26" s="50"/>
    </row>
    <row r="27" spans="2:4" x14ac:dyDescent="0.25">
      <c r="B27" s="48"/>
      <c r="C27" s="49"/>
      <c r="D27" s="50"/>
    </row>
    <row r="28" spans="2:4" x14ac:dyDescent="0.25">
      <c r="B28" s="37"/>
      <c r="C28" s="39"/>
      <c r="D28" s="38"/>
    </row>
    <row r="29" spans="2:4" x14ac:dyDescent="0.25">
      <c r="B29" s="42"/>
      <c r="C29" s="43"/>
      <c r="D29" s="44"/>
    </row>
    <row r="31" spans="2:4" x14ac:dyDescent="0.25">
      <c r="C31" s="36"/>
    </row>
  </sheetData>
  <hyperlinks>
    <hyperlink ref="A1" location="Pregunta!A1" display="Volver..." xr:uid="{1F936345-8D23-4C4A-91BB-5F954B1068C6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B2"/>
  <sheetViews>
    <sheetView workbookViewId="0">
      <selection activeCell="A7" sqref="A7"/>
    </sheetView>
  </sheetViews>
  <sheetFormatPr baseColWidth="10" defaultRowHeight="15" x14ac:dyDescent="0.25"/>
  <cols>
    <col min="1" max="1" width="52.7109375" customWidth="1"/>
    <col min="2" max="2" width="15.5703125" bestFit="1" customWidth="1"/>
    <col min="4" max="4" width="14.5703125" bestFit="1" customWidth="1"/>
  </cols>
  <sheetData>
    <row r="1" spans="1:2" x14ac:dyDescent="0.25">
      <c r="A1" s="61" t="s">
        <v>43</v>
      </c>
      <c r="B1" s="103" t="s">
        <v>1045</v>
      </c>
    </row>
    <row r="2" spans="1:2" ht="31.5" customHeight="1" x14ac:dyDescent="0.25">
      <c r="A2" s="34" t="s">
        <v>1047</v>
      </c>
    </row>
  </sheetData>
  <hyperlinks>
    <hyperlink ref="B1" location="Pregunta!A1" display="Volver…" xr:uid="{10D337ED-AFFB-474C-BEC8-2ADF7261F7C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G21"/>
  <sheetViews>
    <sheetView workbookViewId="0">
      <selection activeCell="B5" sqref="B5"/>
    </sheetView>
  </sheetViews>
  <sheetFormatPr baseColWidth="10" defaultRowHeight="15" x14ac:dyDescent="0.25"/>
  <cols>
    <col min="1" max="1" width="24.85546875" customWidth="1"/>
    <col min="2" max="2" width="13.5703125" bestFit="1" customWidth="1"/>
    <col min="5" max="5" width="15.28515625" bestFit="1" customWidth="1"/>
    <col min="6" max="6" width="21.85546875" customWidth="1"/>
  </cols>
  <sheetData>
    <row r="1" spans="1:7" ht="15.75" thickBot="1" x14ac:dyDescent="0.3">
      <c r="A1" t="s">
        <v>13</v>
      </c>
      <c r="B1">
        <f>COUNTIF(BD!M:M,"A")+COUNTIF(BD!M:M,"B")+COUNTIF(BD!M:M,"C")+COUNTIF(BD!M:M,"D")</f>
        <v>25</v>
      </c>
      <c r="E1" s="96" t="s">
        <v>1029</v>
      </c>
      <c r="F1" s="108" t="s">
        <v>1030</v>
      </c>
      <c r="G1" s="96" t="s">
        <v>1066</v>
      </c>
    </row>
    <row r="2" spans="1:7" ht="15.75" thickBot="1" x14ac:dyDescent="0.3">
      <c r="A2" t="s">
        <v>14</v>
      </c>
      <c r="B2">
        <v>7</v>
      </c>
      <c r="E2" s="96" t="s">
        <v>1028</v>
      </c>
      <c r="F2" s="108" t="s">
        <v>1028</v>
      </c>
      <c r="G2" s="96" t="s">
        <v>1068</v>
      </c>
    </row>
    <row r="3" spans="1:7" ht="15.75" thickBot="1" x14ac:dyDescent="0.3">
      <c r="A3" t="s">
        <v>17</v>
      </c>
      <c r="E3" s="96" t="s">
        <v>1025</v>
      </c>
      <c r="F3" s="108" t="s">
        <v>1027</v>
      </c>
      <c r="G3" s="96" t="s">
        <v>1067</v>
      </c>
    </row>
    <row r="4" spans="1:7" x14ac:dyDescent="0.25">
      <c r="A4" t="s">
        <v>25</v>
      </c>
      <c r="B4" t="b">
        <v>0</v>
      </c>
    </row>
    <row r="5" spans="1:7" x14ac:dyDescent="0.25">
      <c r="A5" t="s">
        <v>32</v>
      </c>
      <c r="B5">
        <f>SUBTOTAL(103,BD!A:A)-1</f>
        <v>25</v>
      </c>
    </row>
    <row r="6" spans="1:7" x14ac:dyDescent="0.25">
      <c r="A6" t="s">
        <v>35</v>
      </c>
      <c r="B6" s="56">
        <v>46215.561273148145</v>
      </c>
    </row>
    <row r="7" spans="1:7" x14ac:dyDescent="0.25">
      <c r="A7" t="s">
        <v>98</v>
      </c>
      <c r="B7" t="s">
        <v>1072</v>
      </c>
    </row>
    <row r="8" spans="1:7" x14ac:dyDescent="0.25">
      <c r="A8" t="s">
        <v>798</v>
      </c>
      <c r="B8" t="s">
        <v>799</v>
      </c>
    </row>
    <row r="9" spans="1:7" x14ac:dyDescent="0.25">
      <c r="A9" t="s">
        <v>1034</v>
      </c>
      <c r="B9">
        <v>1</v>
      </c>
    </row>
    <row r="10" spans="1:7" ht="15.75" thickBot="1" x14ac:dyDescent="0.3"/>
    <row r="11" spans="1:7" x14ac:dyDescent="0.25">
      <c r="A11" s="12" t="s">
        <v>27</v>
      </c>
      <c r="B11" s="13">
        <v>1</v>
      </c>
    </row>
    <row r="12" spans="1:7" x14ac:dyDescent="0.25">
      <c r="A12" s="14"/>
      <c r="B12" s="15">
        <v>2</v>
      </c>
    </row>
    <row r="13" spans="1:7" x14ac:dyDescent="0.25">
      <c r="A13" s="14"/>
      <c r="B13" s="15">
        <v>4</v>
      </c>
    </row>
    <row r="14" spans="1:7" ht="15.75" thickBot="1" x14ac:dyDescent="0.3">
      <c r="A14" s="16"/>
      <c r="B14" s="17">
        <v>3</v>
      </c>
    </row>
    <row r="20" spans="1:2" x14ac:dyDescent="0.25">
      <c r="A20" t="s">
        <v>1063</v>
      </c>
      <c r="B20">
        <v>0</v>
      </c>
    </row>
    <row r="21" spans="1:2" x14ac:dyDescent="0.25">
      <c r="A21" t="s">
        <v>1064</v>
      </c>
      <c r="B21">
        <v>0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8D9F-627D-45E3-8C9B-89CBDDE8056B}">
  <sheetPr codeName="Hoja8"/>
  <dimension ref="A1:B99"/>
  <sheetViews>
    <sheetView workbookViewId="0">
      <selection activeCell="B19" sqref="B19"/>
    </sheetView>
  </sheetViews>
  <sheetFormatPr baseColWidth="10" defaultColWidth="8.85546875" defaultRowHeight="15" x14ac:dyDescent="0.25"/>
  <cols>
    <col min="1" max="1" width="7.28515625" customWidth="1"/>
  </cols>
  <sheetData>
    <row r="1" spans="1:2" ht="37.5" x14ac:dyDescent="0.25">
      <c r="A1" s="64" t="s">
        <v>180</v>
      </c>
    </row>
    <row r="2" spans="1:2" ht="26.25" x14ac:dyDescent="0.25">
      <c r="A2" s="65" t="s">
        <v>179</v>
      </c>
    </row>
    <row r="3" spans="1:2" x14ac:dyDescent="0.25">
      <c r="A3" s="63" t="s">
        <v>177</v>
      </c>
    </row>
    <row r="4" spans="1:2" x14ac:dyDescent="0.25">
      <c r="A4" s="79"/>
    </row>
    <row r="5" spans="1:2" ht="21" x14ac:dyDescent="0.25">
      <c r="A5" s="68" t="s">
        <v>186</v>
      </c>
    </row>
    <row r="6" spans="1:2" x14ac:dyDescent="0.25">
      <c r="A6" s="62"/>
    </row>
    <row r="7" spans="1:2" x14ac:dyDescent="0.25">
      <c r="B7" s="80" t="s">
        <v>181</v>
      </c>
    </row>
    <row r="8" spans="1:2" x14ac:dyDescent="0.25">
      <c r="B8" s="63" t="s">
        <v>179</v>
      </c>
    </row>
    <row r="9" spans="1:2" x14ac:dyDescent="0.25">
      <c r="B9" s="62"/>
    </row>
    <row r="10" spans="1:2" x14ac:dyDescent="0.25">
      <c r="B10" s="80" t="s">
        <v>182</v>
      </c>
    </row>
    <row r="11" spans="1:2" x14ac:dyDescent="0.25">
      <c r="B11" s="63" t="s">
        <v>183</v>
      </c>
    </row>
    <row r="12" spans="1:2" x14ac:dyDescent="0.25">
      <c r="B12" s="63" t="s">
        <v>184</v>
      </c>
    </row>
    <row r="13" spans="1:2" x14ac:dyDescent="0.25">
      <c r="B13" s="63" t="s">
        <v>185</v>
      </c>
    </row>
    <row r="14" spans="1:2" x14ac:dyDescent="0.25">
      <c r="A14" s="79"/>
    </row>
    <row r="15" spans="1:2" ht="21" x14ac:dyDescent="0.25">
      <c r="A15" s="68" t="s">
        <v>189</v>
      </c>
    </row>
    <row r="16" spans="1:2" x14ac:dyDescent="0.25">
      <c r="A16" s="62"/>
    </row>
    <row r="17" spans="1:2" x14ac:dyDescent="0.25">
      <c r="B17" s="80" t="str">
        <f>_xlfn.CONCAT("Versión v.",Sesion!B7)</f>
        <v>Versión v.1.1.1</v>
      </c>
    </row>
    <row r="18" spans="1:2" x14ac:dyDescent="0.25">
      <c r="B18" s="80" t="s">
        <v>187</v>
      </c>
    </row>
    <row r="19" spans="1:2" x14ac:dyDescent="0.25">
      <c r="B19" s="80" t="s">
        <v>1062</v>
      </c>
    </row>
    <row r="20" spans="1:2" x14ac:dyDescent="0.25">
      <c r="B20" s="80" t="s">
        <v>188</v>
      </c>
    </row>
    <row r="22" spans="1:2" ht="21" x14ac:dyDescent="0.25">
      <c r="A22" s="68" t="s">
        <v>194</v>
      </c>
    </row>
    <row r="23" spans="1:2" x14ac:dyDescent="0.25">
      <c r="A23" s="62"/>
    </row>
    <row r="24" spans="1:2" x14ac:dyDescent="0.25">
      <c r="B24" s="80" t="s">
        <v>190</v>
      </c>
    </row>
    <row r="25" spans="1:2" x14ac:dyDescent="0.25">
      <c r="B25" s="80" t="s">
        <v>191</v>
      </c>
    </row>
    <row r="26" spans="1:2" x14ac:dyDescent="0.25">
      <c r="B26" s="80" t="s">
        <v>192</v>
      </c>
    </row>
    <row r="27" spans="1:2" x14ac:dyDescent="0.25">
      <c r="B27" s="83" t="s">
        <v>193</v>
      </c>
    </row>
    <row r="28" spans="1:2" x14ac:dyDescent="0.25">
      <c r="B28" s="80" t="s">
        <v>244</v>
      </c>
    </row>
    <row r="29" spans="1:2" x14ac:dyDescent="0.25">
      <c r="B29" s="86" t="s">
        <v>243</v>
      </c>
    </row>
    <row r="31" spans="1:2" ht="21" x14ac:dyDescent="0.25">
      <c r="A31" s="68" t="s">
        <v>195</v>
      </c>
    </row>
    <row r="32" spans="1:2" x14ac:dyDescent="0.25">
      <c r="A32" s="62"/>
    </row>
    <row r="33" spans="1:2" x14ac:dyDescent="0.25">
      <c r="B33" s="63" t="s">
        <v>196</v>
      </c>
    </row>
    <row r="34" spans="1:2" x14ac:dyDescent="0.25">
      <c r="B34" s="63" t="s">
        <v>178</v>
      </c>
    </row>
    <row r="36" spans="1:2" ht="21" x14ac:dyDescent="0.25">
      <c r="A36" s="68" t="s">
        <v>206</v>
      </c>
    </row>
    <row r="37" spans="1:2" x14ac:dyDescent="0.25">
      <c r="A37" s="66"/>
    </row>
    <row r="38" spans="1:2" x14ac:dyDescent="0.25">
      <c r="B38" s="85" t="s">
        <v>234</v>
      </c>
    </row>
    <row r="39" spans="1:2" x14ac:dyDescent="0.25">
      <c r="B39" s="85" t="s">
        <v>235</v>
      </c>
    </row>
    <row r="40" spans="1:2" x14ac:dyDescent="0.25">
      <c r="B40" s="85" t="s">
        <v>236</v>
      </c>
    </row>
    <row r="41" spans="1:2" x14ac:dyDescent="0.25">
      <c r="B41" s="85" t="s">
        <v>237</v>
      </c>
    </row>
    <row r="42" spans="1:2" x14ac:dyDescent="0.25">
      <c r="B42" s="85" t="s">
        <v>238</v>
      </c>
    </row>
    <row r="44" spans="1:2" ht="21" x14ac:dyDescent="0.25">
      <c r="A44" s="68" t="s">
        <v>207</v>
      </c>
    </row>
    <row r="45" spans="1:2" x14ac:dyDescent="0.25">
      <c r="A45" s="62"/>
    </row>
    <row r="46" spans="1:2" x14ac:dyDescent="0.25">
      <c r="B46" s="63" t="s">
        <v>197</v>
      </c>
    </row>
    <row r="47" spans="1:2" x14ac:dyDescent="0.25">
      <c r="B47" s="80" t="s">
        <v>198</v>
      </c>
    </row>
    <row r="48" spans="1:2" x14ac:dyDescent="0.25">
      <c r="B48" s="62"/>
    </row>
    <row r="49" spans="1:2" x14ac:dyDescent="0.25">
      <c r="B49" s="63" t="s">
        <v>199</v>
      </c>
    </row>
    <row r="50" spans="1:2" x14ac:dyDescent="0.25">
      <c r="B50" s="67" t="s">
        <v>200</v>
      </c>
    </row>
    <row r="51" spans="1:2" x14ac:dyDescent="0.25">
      <c r="B51" s="67" t="s">
        <v>201</v>
      </c>
    </row>
    <row r="52" spans="1:2" x14ac:dyDescent="0.25">
      <c r="B52" s="67" t="s">
        <v>202</v>
      </c>
    </row>
    <row r="53" spans="1:2" x14ac:dyDescent="0.25">
      <c r="B53" s="67" t="s">
        <v>203</v>
      </c>
    </row>
    <row r="55" spans="1:2" x14ac:dyDescent="0.25">
      <c r="B55" s="63" t="s">
        <v>204</v>
      </c>
    </row>
    <row r="57" spans="1:2" ht="26.25" x14ac:dyDescent="0.25">
      <c r="A57" s="84" t="s">
        <v>205</v>
      </c>
      <c r="B57" s="65"/>
    </row>
    <row r="59" spans="1:2" x14ac:dyDescent="0.25">
      <c r="B59" s="81" t="s">
        <v>240</v>
      </c>
    </row>
    <row r="60" spans="1:2" x14ac:dyDescent="0.25">
      <c r="B60" s="81" t="s">
        <v>241</v>
      </c>
    </row>
    <row r="61" spans="1:2" x14ac:dyDescent="0.25">
      <c r="B61" s="81" t="s">
        <v>242</v>
      </c>
    </row>
    <row r="62" spans="1:2" x14ac:dyDescent="0.25">
      <c r="B62" s="69" t="s">
        <v>239</v>
      </c>
    </row>
    <row r="64" spans="1:2" ht="21" x14ac:dyDescent="0.25">
      <c r="A64" s="68" t="s">
        <v>220</v>
      </c>
    </row>
    <row r="65" spans="1:2" x14ac:dyDescent="0.25">
      <c r="A65" s="66"/>
    </row>
    <row r="66" spans="1:2" x14ac:dyDescent="0.25">
      <c r="B66" s="70" t="s">
        <v>208</v>
      </c>
    </row>
    <row r="67" spans="1:2" x14ac:dyDescent="0.25">
      <c r="B67" s="67" t="s">
        <v>209</v>
      </c>
    </row>
    <row r="68" spans="1:2" x14ac:dyDescent="0.25">
      <c r="B68" s="66"/>
    </row>
    <row r="69" spans="1:2" x14ac:dyDescent="0.25">
      <c r="B69" s="70" t="s">
        <v>210</v>
      </c>
    </row>
    <row r="70" spans="1:2" x14ac:dyDescent="0.25">
      <c r="B70" s="67" t="s">
        <v>211</v>
      </c>
    </row>
    <row r="71" spans="1:2" x14ac:dyDescent="0.25">
      <c r="B71" s="66"/>
    </row>
    <row r="72" spans="1:2" x14ac:dyDescent="0.25">
      <c r="B72" s="70" t="s">
        <v>212</v>
      </c>
    </row>
    <row r="73" spans="1:2" x14ac:dyDescent="0.25">
      <c r="B73" s="67" t="s">
        <v>213</v>
      </c>
    </row>
    <row r="74" spans="1:2" x14ac:dyDescent="0.25">
      <c r="B74" s="66"/>
    </row>
    <row r="75" spans="1:2" x14ac:dyDescent="0.25">
      <c r="B75" s="70" t="s">
        <v>214</v>
      </c>
    </row>
    <row r="76" spans="1:2" x14ac:dyDescent="0.25">
      <c r="B76" s="67" t="s">
        <v>215</v>
      </c>
    </row>
    <row r="77" spans="1:2" x14ac:dyDescent="0.25">
      <c r="B77" s="66"/>
    </row>
    <row r="78" spans="1:2" x14ac:dyDescent="0.25">
      <c r="B78" s="70" t="s">
        <v>216</v>
      </c>
    </row>
    <row r="79" spans="1:2" x14ac:dyDescent="0.25">
      <c r="B79" s="67" t="s">
        <v>217</v>
      </c>
    </row>
    <row r="80" spans="1:2" x14ac:dyDescent="0.25">
      <c r="B80" s="66"/>
    </row>
    <row r="81" spans="1:2" x14ac:dyDescent="0.25">
      <c r="B81" s="70" t="s">
        <v>218</v>
      </c>
    </row>
    <row r="82" spans="1:2" x14ac:dyDescent="0.25">
      <c r="B82" s="67" t="s">
        <v>219</v>
      </c>
    </row>
    <row r="84" spans="1:2" ht="21" x14ac:dyDescent="0.25">
      <c r="A84" s="68" t="s">
        <v>229</v>
      </c>
    </row>
    <row r="85" spans="1:2" x14ac:dyDescent="0.25">
      <c r="A85" s="62"/>
    </row>
    <row r="86" spans="1:2" x14ac:dyDescent="0.25">
      <c r="B86" s="63" t="s">
        <v>221</v>
      </c>
    </row>
    <row r="87" spans="1:2" x14ac:dyDescent="0.25">
      <c r="B87" s="67" t="s">
        <v>230</v>
      </c>
    </row>
    <row r="88" spans="1:2" x14ac:dyDescent="0.25">
      <c r="B88" s="67" t="s">
        <v>222</v>
      </c>
    </row>
    <row r="89" spans="1:2" x14ac:dyDescent="0.25">
      <c r="B89" s="67" t="s">
        <v>223</v>
      </c>
    </row>
    <row r="91" spans="1:2" x14ac:dyDescent="0.25">
      <c r="B91" s="63" t="s">
        <v>224</v>
      </c>
    </row>
    <row r="92" spans="1:2" x14ac:dyDescent="0.25">
      <c r="B92" s="67" t="s">
        <v>225</v>
      </c>
    </row>
    <row r="93" spans="1:2" x14ac:dyDescent="0.25">
      <c r="B93" s="67" t="s">
        <v>226</v>
      </c>
    </row>
    <row r="94" spans="1:2" x14ac:dyDescent="0.25">
      <c r="B94" s="67" t="s">
        <v>227</v>
      </c>
    </row>
    <row r="95" spans="1:2" x14ac:dyDescent="0.25">
      <c r="B95" s="67" t="s">
        <v>228</v>
      </c>
    </row>
    <row r="97" spans="1:2" ht="26.25" x14ac:dyDescent="0.25">
      <c r="A97" s="65" t="s">
        <v>232</v>
      </c>
    </row>
    <row r="98" spans="1:2" x14ac:dyDescent="0.25">
      <c r="A98" s="62"/>
    </row>
    <row r="99" spans="1:2" x14ac:dyDescent="0.25">
      <c r="B99" s="63" t="s">
        <v>231</v>
      </c>
    </row>
  </sheetData>
  <sheetProtection algorithmName="SHA-512" hashValue="XUJuWuV89D3RTOjR6xBVJNUz2XZcIw9cHiJKvCvx5n9go6cFuiIcx4Je510TqNrmUqlkAqpl0KDoVXczdBCg4w==" saltValue="6ZMsTHN81KdUgw+6g0IR9w==" spinCount="100000" sheet="1" objects="1" scenarios="1"/>
  <hyperlinks>
    <hyperlink ref="B27" r:id="rId1" xr:uid="{7DCDBF26-EB3F-418E-932B-7F1AAEE7AD59}"/>
    <hyperlink ref="B38" r:id="rId2" xr:uid="{A7B8A928-AF37-4E3A-818E-C6256161F6DF}"/>
    <hyperlink ref="B39" r:id="rId3" display="Repositorio" xr:uid="{6F8EE205-E846-4844-BB57-060319F92140}"/>
    <hyperlink ref="B40" r:id="rId4" xr:uid="{61A0C5A5-B2F5-4E95-8FD6-5176A017E50F}"/>
    <hyperlink ref="B41" r:id="rId5" xr:uid="{3843DA87-8AD9-4C59-A76E-06ED237B1E95}"/>
    <hyperlink ref="B42" r:id="rId6" xr:uid="{1E5E624A-C4BB-41E4-BA49-B27A16F2514E}"/>
    <hyperlink ref="B29" r:id="rId7" display="https://paypal.me/atmarquez" xr:uid="{D1FB9A75-43CC-43F1-B66E-B08971C3C640}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3E7-352B-4353-AE40-A236CBCE6CD3}">
  <sheetPr codeName="Hoja10"/>
  <dimension ref="A1:A674"/>
  <sheetViews>
    <sheetView workbookViewId="0"/>
  </sheetViews>
  <sheetFormatPr baseColWidth="10" defaultRowHeight="15" x14ac:dyDescent="0.25"/>
  <cols>
    <col min="1" max="1" width="64.5703125" customWidth="1"/>
  </cols>
  <sheetData>
    <row r="1" spans="1:1" x14ac:dyDescent="0.25">
      <c r="A1" t="s">
        <v>245</v>
      </c>
    </row>
    <row r="2" spans="1:1" x14ac:dyDescent="0.25">
      <c r="A2" t="s">
        <v>246</v>
      </c>
    </row>
    <row r="4" spans="1:1" x14ac:dyDescent="0.25">
      <c r="A4" t="s">
        <v>247</v>
      </c>
    </row>
    <row r="5" spans="1:1" x14ac:dyDescent="0.25">
      <c r="A5" t="s">
        <v>248</v>
      </c>
    </row>
    <row r="6" spans="1:1" x14ac:dyDescent="0.25">
      <c r="A6" t="s">
        <v>249</v>
      </c>
    </row>
    <row r="8" spans="1:1" x14ac:dyDescent="0.25">
      <c r="A8" t="s">
        <v>250</v>
      </c>
    </row>
    <row r="10" spans="1:1" x14ac:dyDescent="0.25">
      <c r="A10" t="s">
        <v>251</v>
      </c>
    </row>
    <row r="11" spans="1:1" x14ac:dyDescent="0.25">
      <c r="A11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2" spans="1:1" x14ac:dyDescent="0.25">
      <c r="A22" t="s">
        <v>261</v>
      </c>
    </row>
    <row r="23" spans="1:1" x14ac:dyDescent="0.25">
      <c r="A23" t="s">
        <v>262</v>
      </c>
    </row>
    <row r="24" spans="1:1" x14ac:dyDescent="0.25">
      <c r="A24" t="s">
        <v>263</v>
      </c>
    </row>
    <row r="25" spans="1:1" x14ac:dyDescent="0.25">
      <c r="A25" t="s">
        <v>264</v>
      </c>
    </row>
    <row r="26" spans="1:1" x14ac:dyDescent="0.25">
      <c r="A26" t="s">
        <v>265</v>
      </c>
    </row>
    <row r="27" spans="1:1" x14ac:dyDescent="0.25">
      <c r="A27" t="s">
        <v>266</v>
      </c>
    </row>
    <row r="29" spans="1:1" x14ac:dyDescent="0.25">
      <c r="A29" t="s">
        <v>267</v>
      </c>
    </row>
    <row r="30" spans="1:1" x14ac:dyDescent="0.25">
      <c r="A30" t="s">
        <v>268</v>
      </c>
    </row>
    <row r="31" spans="1:1" x14ac:dyDescent="0.25">
      <c r="A31" t="s">
        <v>269</v>
      </c>
    </row>
    <row r="32" spans="1:1" x14ac:dyDescent="0.25">
      <c r="A32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274</v>
      </c>
    </row>
    <row r="38" spans="1:1" x14ac:dyDescent="0.25">
      <c r="A38" t="s">
        <v>275</v>
      </c>
    </row>
    <row r="40" spans="1:1" x14ac:dyDescent="0.25">
      <c r="A40" t="s">
        <v>276</v>
      </c>
    </row>
    <row r="41" spans="1:1" x14ac:dyDescent="0.25">
      <c r="A41" t="s">
        <v>277</v>
      </c>
    </row>
    <row r="42" spans="1:1" x14ac:dyDescent="0.25">
      <c r="A42" t="s">
        <v>278</v>
      </c>
    </row>
    <row r="44" spans="1:1" x14ac:dyDescent="0.25">
      <c r="A44" t="s">
        <v>279</v>
      </c>
    </row>
    <row r="45" spans="1:1" x14ac:dyDescent="0.25">
      <c r="A45" t="s">
        <v>280</v>
      </c>
    </row>
    <row r="46" spans="1:1" x14ac:dyDescent="0.25">
      <c r="A46" t="s">
        <v>281</v>
      </c>
    </row>
    <row r="47" spans="1:1" x14ac:dyDescent="0.25">
      <c r="A47" t="s">
        <v>282</v>
      </c>
    </row>
    <row r="48" spans="1:1" x14ac:dyDescent="0.25">
      <c r="A48" t="s">
        <v>283</v>
      </c>
    </row>
    <row r="50" spans="1:1" x14ac:dyDescent="0.25">
      <c r="A50" t="s">
        <v>284</v>
      </c>
    </row>
    <row r="51" spans="1:1" x14ac:dyDescent="0.25">
      <c r="A51" t="s">
        <v>285</v>
      </c>
    </row>
    <row r="52" spans="1:1" x14ac:dyDescent="0.25">
      <c r="A52" t="s">
        <v>286</v>
      </c>
    </row>
    <row r="53" spans="1:1" x14ac:dyDescent="0.25">
      <c r="A53" t="s">
        <v>287</v>
      </c>
    </row>
    <row r="54" spans="1:1" x14ac:dyDescent="0.25">
      <c r="A54" t="s">
        <v>288</v>
      </c>
    </row>
    <row r="55" spans="1:1" x14ac:dyDescent="0.25">
      <c r="A55" t="s">
        <v>289</v>
      </c>
    </row>
    <row r="56" spans="1:1" x14ac:dyDescent="0.25">
      <c r="A56" t="s">
        <v>290</v>
      </c>
    </row>
    <row r="57" spans="1:1" x14ac:dyDescent="0.25">
      <c r="A57" t="s">
        <v>291</v>
      </c>
    </row>
    <row r="58" spans="1:1" x14ac:dyDescent="0.25">
      <c r="A58" t="s">
        <v>292</v>
      </c>
    </row>
    <row r="59" spans="1:1" x14ac:dyDescent="0.25">
      <c r="A59" t="s">
        <v>293</v>
      </c>
    </row>
    <row r="61" spans="1:1" x14ac:dyDescent="0.25">
      <c r="A61" t="s">
        <v>294</v>
      </c>
    </row>
    <row r="62" spans="1:1" x14ac:dyDescent="0.25">
      <c r="A62" t="s">
        <v>295</v>
      </c>
    </row>
    <row r="63" spans="1:1" x14ac:dyDescent="0.25">
      <c r="A63" t="s">
        <v>296</v>
      </c>
    </row>
    <row r="64" spans="1:1" x14ac:dyDescent="0.25">
      <c r="A64" t="s">
        <v>297</v>
      </c>
    </row>
    <row r="65" spans="1:1" x14ac:dyDescent="0.25">
      <c r="A65" t="s">
        <v>298</v>
      </c>
    </row>
    <row r="66" spans="1:1" x14ac:dyDescent="0.25">
      <c r="A66" t="s">
        <v>299</v>
      </c>
    </row>
    <row r="68" spans="1:1" x14ac:dyDescent="0.25">
      <c r="A68" t="s">
        <v>300</v>
      </c>
    </row>
    <row r="69" spans="1:1" x14ac:dyDescent="0.25">
      <c r="A69" t="s">
        <v>301</v>
      </c>
    </row>
    <row r="71" spans="1:1" x14ac:dyDescent="0.25">
      <c r="A71" t="s">
        <v>302</v>
      </c>
    </row>
    <row r="73" spans="1:1" x14ac:dyDescent="0.25">
      <c r="A73" t="s">
        <v>303</v>
      </c>
    </row>
    <row r="75" spans="1:1" x14ac:dyDescent="0.25">
      <c r="A75" t="s">
        <v>304</v>
      </c>
    </row>
    <row r="77" spans="1:1" x14ac:dyDescent="0.25">
      <c r="A77" t="s">
        <v>305</v>
      </c>
    </row>
    <row r="78" spans="1:1" x14ac:dyDescent="0.25">
      <c r="A78" t="s">
        <v>306</v>
      </c>
    </row>
    <row r="80" spans="1:1" x14ac:dyDescent="0.25">
      <c r="A80" t="s">
        <v>307</v>
      </c>
    </row>
    <row r="81" spans="1:1" x14ac:dyDescent="0.25">
      <c r="A81" t="s">
        <v>308</v>
      </c>
    </row>
    <row r="82" spans="1:1" x14ac:dyDescent="0.25">
      <c r="A82" t="s">
        <v>795</v>
      </c>
    </row>
    <row r="84" spans="1:1" x14ac:dyDescent="0.25">
      <c r="A84" t="s">
        <v>309</v>
      </c>
    </row>
    <row r="85" spans="1:1" x14ac:dyDescent="0.25">
      <c r="A85" t="s">
        <v>310</v>
      </c>
    </row>
    <row r="86" spans="1:1" x14ac:dyDescent="0.25">
      <c r="A86" t="s">
        <v>311</v>
      </c>
    </row>
    <row r="87" spans="1:1" x14ac:dyDescent="0.25">
      <c r="A87" t="s">
        <v>312</v>
      </c>
    </row>
    <row r="89" spans="1:1" x14ac:dyDescent="0.25">
      <c r="A89" t="s">
        <v>313</v>
      </c>
    </row>
    <row r="90" spans="1:1" x14ac:dyDescent="0.25">
      <c r="A90" t="s">
        <v>314</v>
      </c>
    </row>
    <row r="92" spans="1:1" x14ac:dyDescent="0.25">
      <c r="A92" t="s">
        <v>315</v>
      </c>
    </row>
    <row r="93" spans="1:1" x14ac:dyDescent="0.25">
      <c r="A93" t="s">
        <v>316</v>
      </c>
    </row>
    <row r="94" spans="1:1" x14ac:dyDescent="0.25">
      <c r="A94" t="s">
        <v>317</v>
      </c>
    </row>
    <row r="95" spans="1:1" x14ac:dyDescent="0.25">
      <c r="A95" t="s">
        <v>318</v>
      </c>
    </row>
    <row r="96" spans="1:1" x14ac:dyDescent="0.25">
      <c r="A96" t="s">
        <v>319</v>
      </c>
    </row>
    <row r="97" spans="1:1" x14ac:dyDescent="0.25">
      <c r="A97" t="s">
        <v>320</v>
      </c>
    </row>
    <row r="99" spans="1:1" x14ac:dyDescent="0.25">
      <c r="A99" t="s">
        <v>321</v>
      </c>
    </row>
    <row r="100" spans="1:1" x14ac:dyDescent="0.25">
      <c r="A100" t="s">
        <v>322</v>
      </c>
    </row>
    <row r="101" spans="1:1" x14ac:dyDescent="0.25">
      <c r="A101" t="s">
        <v>323</v>
      </c>
    </row>
    <row r="103" spans="1:1" x14ac:dyDescent="0.25">
      <c r="A103" t="s">
        <v>324</v>
      </c>
    </row>
    <row r="104" spans="1:1" x14ac:dyDescent="0.25">
      <c r="A104" t="s">
        <v>325</v>
      </c>
    </row>
    <row r="105" spans="1:1" x14ac:dyDescent="0.25">
      <c r="A105" t="s">
        <v>326</v>
      </c>
    </row>
    <row r="106" spans="1:1" x14ac:dyDescent="0.25">
      <c r="A106" t="s">
        <v>327</v>
      </c>
    </row>
    <row r="107" spans="1:1" x14ac:dyDescent="0.25">
      <c r="A107" t="s">
        <v>328</v>
      </c>
    </row>
    <row r="108" spans="1:1" x14ac:dyDescent="0.25">
      <c r="A108" t="s">
        <v>329</v>
      </c>
    </row>
    <row r="109" spans="1:1" x14ac:dyDescent="0.25">
      <c r="A109" t="s">
        <v>330</v>
      </c>
    </row>
    <row r="110" spans="1:1" x14ac:dyDescent="0.25">
      <c r="A110" t="s">
        <v>331</v>
      </c>
    </row>
    <row r="112" spans="1:1" x14ac:dyDescent="0.25">
      <c r="A112" t="s">
        <v>332</v>
      </c>
    </row>
    <row r="114" spans="1:1" x14ac:dyDescent="0.25">
      <c r="A114" t="s">
        <v>333</v>
      </c>
    </row>
    <row r="115" spans="1:1" x14ac:dyDescent="0.25">
      <c r="A115" t="s">
        <v>334</v>
      </c>
    </row>
    <row r="116" spans="1:1" x14ac:dyDescent="0.25">
      <c r="A116" t="s">
        <v>335</v>
      </c>
    </row>
    <row r="118" spans="1:1" x14ac:dyDescent="0.25">
      <c r="A118" t="s">
        <v>336</v>
      </c>
    </row>
    <row r="119" spans="1:1" x14ac:dyDescent="0.25">
      <c r="A119" t="s">
        <v>337</v>
      </c>
    </row>
    <row r="120" spans="1:1" x14ac:dyDescent="0.25">
      <c r="A120" t="s">
        <v>338</v>
      </c>
    </row>
    <row r="121" spans="1:1" x14ac:dyDescent="0.25">
      <c r="A121" t="s">
        <v>339</v>
      </c>
    </row>
    <row r="123" spans="1:1" x14ac:dyDescent="0.25">
      <c r="A123" t="s">
        <v>340</v>
      </c>
    </row>
    <row r="124" spans="1:1" x14ac:dyDescent="0.25">
      <c r="A124" t="s">
        <v>341</v>
      </c>
    </row>
    <row r="125" spans="1:1" x14ac:dyDescent="0.25">
      <c r="A125" t="s">
        <v>342</v>
      </c>
    </row>
    <row r="126" spans="1:1" x14ac:dyDescent="0.25">
      <c r="A126" t="s">
        <v>343</v>
      </c>
    </row>
    <row r="127" spans="1:1" x14ac:dyDescent="0.25">
      <c r="A127" t="s">
        <v>344</v>
      </c>
    </row>
    <row r="128" spans="1:1" x14ac:dyDescent="0.25">
      <c r="A128" t="s">
        <v>345</v>
      </c>
    </row>
    <row r="129" spans="1:1" x14ac:dyDescent="0.25">
      <c r="A129" t="s">
        <v>796</v>
      </c>
    </row>
    <row r="130" spans="1:1" x14ac:dyDescent="0.25">
      <c r="A130" t="s">
        <v>346</v>
      </c>
    </row>
    <row r="131" spans="1:1" x14ac:dyDescent="0.25">
      <c r="A131" t="s">
        <v>347</v>
      </c>
    </row>
    <row r="132" spans="1:1" x14ac:dyDescent="0.25">
      <c r="A132" t="s">
        <v>348</v>
      </c>
    </row>
    <row r="134" spans="1:1" x14ac:dyDescent="0.25">
      <c r="A134" t="s">
        <v>349</v>
      </c>
    </row>
    <row r="135" spans="1:1" x14ac:dyDescent="0.25">
      <c r="A135" t="s">
        <v>350</v>
      </c>
    </row>
    <row r="136" spans="1:1" x14ac:dyDescent="0.25">
      <c r="A136" t="s">
        <v>351</v>
      </c>
    </row>
    <row r="137" spans="1:1" x14ac:dyDescent="0.25">
      <c r="A137" t="s">
        <v>352</v>
      </c>
    </row>
    <row r="138" spans="1:1" x14ac:dyDescent="0.25">
      <c r="A138" t="s">
        <v>353</v>
      </c>
    </row>
    <row r="139" spans="1:1" x14ac:dyDescent="0.25">
      <c r="A139" t="s">
        <v>354</v>
      </c>
    </row>
    <row r="140" spans="1:1" x14ac:dyDescent="0.25">
      <c r="A140" t="s">
        <v>355</v>
      </c>
    </row>
    <row r="141" spans="1:1" x14ac:dyDescent="0.25">
      <c r="A141" t="s">
        <v>356</v>
      </c>
    </row>
    <row r="142" spans="1:1" x14ac:dyDescent="0.25">
      <c r="A142" t="s">
        <v>357</v>
      </c>
    </row>
    <row r="143" spans="1:1" x14ac:dyDescent="0.25">
      <c r="A143" t="s">
        <v>358</v>
      </c>
    </row>
    <row r="144" spans="1:1" x14ac:dyDescent="0.25">
      <c r="A144" t="s">
        <v>359</v>
      </c>
    </row>
    <row r="145" spans="1:1" x14ac:dyDescent="0.25">
      <c r="A145" t="s">
        <v>360</v>
      </c>
    </row>
    <row r="147" spans="1:1" x14ac:dyDescent="0.25">
      <c r="A147" t="s">
        <v>361</v>
      </c>
    </row>
    <row r="148" spans="1:1" x14ac:dyDescent="0.25">
      <c r="A148" t="s">
        <v>362</v>
      </c>
    </row>
    <row r="149" spans="1:1" x14ac:dyDescent="0.25">
      <c r="A149" t="s">
        <v>363</v>
      </c>
    </row>
    <row r="151" spans="1:1" x14ac:dyDescent="0.25">
      <c r="A151" t="s">
        <v>364</v>
      </c>
    </row>
    <row r="152" spans="1:1" x14ac:dyDescent="0.25">
      <c r="A152" t="s">
        <v>365</v>
      </c>
    </row>
    <row r="154" spans="1:1" x14ac:dyDescent="0.25">
      <c r="A154" t="s">
        <v>366</v>
      </c>
    </row>
    <row r="156" spans="1:1" x14ac:dyDescent="0.25">
      <c r="A156" t="s">
        <v>367</v>
      </c>
    </row>
    <row r="157" spans="1:1" x14ac:dyDescent="0.25">
      <c r="A157" t="s">
        <v>368</v>
      </c>
    </row>
    <row r="158" spans="1:1" x14ac:dyDescent="0.25">
      <c r="A158" t="s">
        <v>369</v>
      </c>
    </row>
    <row r="159" spans="1:1" x14ac:dyDescent="0.25">
      <c r="A159" t="s">
        <v>370</v>
      </c>
    </row>
    <row r="160" spans="1:1" x14ac:dyDescent="0.25">
      <c r="A160" t="s">
        <v>371</v>
      </c>
    </row>
    <row r="161" spans="1:1" x14ac:dyDescent="0.25">
      <c r="A161" t="s">
        <v>372</v>
      </c>
    </row>
    <row r="162" spans="1:1" x14ac:dyDescent="0.25">
      <c r="A162" t="s">
        <v>373</v>
      </c>
    </row>
    <row r="164" spans="1:1" x14ac:dyDescent="0.25">
      <c r="A164" t="s">
        <v>374</v>
      </c>
    </row>
    <row r="165" spans="1:1" x14ac:dyDescent="0.25">
      <c r="A165" t="s">
        <v>375</v>
      </c>
    </row>
    <row r="166" spans="1:1" x14ac:dyDescent="0.25">
      <c r="A166" t="s">
        <v>376</v>
      </c>
    </row>
    <row r="167" spans="1:1" x14ac:dyDescent="0.25">
      <c r="A167" t="s">
        <v>377</v>
      </c>
    </row>
    <row r="168" spans="1:1" x14ac:dyDescent="0.25">
      <c r="A168" t="s">
        <v>378</v>
      </c>
    </row>
    <row r="169" spans="1:1" x14ac:dyDescent="0.25">
      <c r="A169" t="s">
        <v>379</v>
      </c>
    </row>
    <row r="170" spans="1:1" x14ac:dyDescent="0.25">
      <c r="A170" t="s">
        <v>380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7" spans="1:1" x14ac:dyDescent="0.25">
      <c r="A177" t="s">
        <v>386</v>
      </c>
    </row>
    <row r="179" spans="1:1" x14ac:dyDescent="0.25">
      <c r="A179" t="s">
        <v>387</v>
      </c>
    </row>
    <row r="181" spans="1:1" x14ac:dyDescent="0.25">
      <c r="A181" t="s">
        <v>388</v>
      </c>
    </row>
    <row r="182" spans="1:1" x14ac:dyDescent="0.25">
      <c r="A182" t="s">
        <v>389</v>
      </c>
    </row>
    <row r="183" spans="1:1" x14ac:dyDescent="0.25">
      <c r="A183" t="s">
        <v>390</v>
      </c>
    </row>
    <row r="184" spans="1:1" x14ac:dyDescent="0.25">
      <c r="A184" t="s">
        <v>391</v>
      </c>
    </row>
    <row r="185" spans="1:1" x14ac:dyDescent="0.25">
      <c r="A185" t="s">
        <v>392</v>
      </c>
    </row>
    <row r="187" spans="1:1" x14ac:dyDescent="0.25">
      <c r="A187" t="s">
        <v>393</v>
      </c>
    </row>
    <row r="188" spans="1:1" x14ac:dyDescent="0.25">
      <c r="A188" t="s">
        <v>394</v>
      </c>
    </row>
    <row r="189" spans="1:1" x14ac:dyDescent="0.25">
      <c r="A189" t="s">
        <v>395</v>
      </c>
    </row>
    <row r="190" spans="1:1" x14ac:dyDescent="0.25">
      <c r="A190" t="s">
        <v>396</v>
      </c>
    </row>
    <row r="191" spans="1:1" x14ac:dyDescent="0.25">
      <c r="A191" t="s">
        <v>397</v>
      </c>
    </row>
    <row r="192" spans="1:1" x14ac:dyDescent="0.25">
      <c r="A192" t="s">
        <v>398</v>
      </c>
    </row>
    <row r="193" spans="1:1" x14ac:dyDescent="0.25">
      <c r="A193" t="s">
        <v>399</v>
      </c>
    </row>
    <row r="195" spans="1:1" x14ac:dyDescent="0.25">
      <c r="A195" t="s">
        <v>400</v>
      </c>
    </row>
    <row r="197" spans="1:1" x14ac:dyDescent="0.25">
      <c r="A197" t="s">
        <v>401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406</v>
      </c>
    </row>
    <row r="203" spans="1:1" x14ac:dyDescent="0.25">
      <c r="A203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8" spans="1:1" x14ac:dyDescent="0.25">
      <c r="A208" t="s">
        <v>410</v>
      </c>
    </row>
    <row r="210" spans="1:1" x14ac:dyDescent="0.25">
      <c r="A210" t="s">
        <v>411</v>
      </c>
    </row>
    <row r="211" spans="1:1" x14ac:dyDescent="0.25">
      <c r="A211" t="s">
        <v>412</v>
      </c>
    </row>
    <row r="212" spans="1:1" x14ac:dyDescent="0.25">
      <c r="A212" t="s">
        <v>413</v>
      </c>
    </row>
    <row r="214" spans="1:1" x14ac:dyDescent="0.25">
      <c r="A214" t="s">
        <v>414</v>
      </c>
    </row>
    <row r="215" spans="1:1" x14ac:dyDescent="0.25">
      <c r="A215" t="s">
        <v>415</v>
      </c>
    </row>
    <row r="217" spans="1:1" x14ac:dyDescent="0.25">
      <c r="A217" t="s">
        <v>416</v>
      </c>
    </row>
    <row r="218" spans="1:1" x14ac:dyDescent="0.25">
      <c r="A218" t="s">
        <v>417</v>
      </c>
    </row>
    <row r="219" spans="1:1" x14ac:dyDescent="0.25">
      <c r="A219" t="s">
        <v>418</v>
      </c>
    </row>
    <row r="220" spans="1:1" x14ac:dyDescent="0.25">
      <c r="A220" t="s">
        <v>419</v>
      </c>
    </row>
    <row r="222" spans="1:1" x14ac:dyDescent="0.25">
      <c r="A222" t="s">
        <v>420</v>
      </c>
    </row>
    <row r="223" spans="1:1" x14ac:dyDescent="0.25">
      <c r="A223" t="s">
        <v>421</v>
      </c>
    </row>
    <row r="224" spans="1:1" x14ac:dyDescent="0.25">
      <c r="A224" t="s">
        <v>422</v>
      </c>
    </row>
    <row r="225" spans="1:1" x14ac:dyDescent="0.25">
      <c r="A225" t="s">
        <v>423</v>
      </c>
    </row>
    <row r="226" spans="1:1" x14ac:dyDescent="0.25">
      <c r="A226" t="s">
        <v>424</v>
      </c>
    </row>
    <row r="227" spans="1:1" x14ac:dyDescent="0.25">
      <c r="A227" t="s">
        <v>425</v>
      </c>
    </row>
    <row r="228" spans="1:1" x14ac:dyDescent="0.25">
      <c r="A228" t="s">
        <v>426</v>
      </c>
    </row>
    <row r="230" spans="1:1" x14ac:dyDescent="0.25">
      <c r="A230" t="s">
        <v>427</v>
      </c>
    </row>
    <row r="231" spans="1:1" x14ac:dyDescent="0.25">
      <c r="A231" t="s">
        <v>428</v>
      </c>
    </row>
    <row r="232" spans="1:1" x14ac:dyDescent="0.25">
      <c r="A232" t="s">
        <v>429</v>
      </c>
    </row>
    <row r="233" spans="1:1" x14ac:dyDescent="0.25">
      <c r="A233" t="s">
        <v>430</v>
      </c>
    </row>
    <row r="235" spans="1:1" x14ac:dyDescent="0.25">
      <c r="A235" t="s">
        <v>431</v>
      </c>
    </row>
    <row r="236" spans="1:1" x14ac:dyDescent="0.25">
      <c r="A236" t="s">
        <v>432</v>
      </c>
    </row>
    <row r="237" spans="1:1" x14ac:dyDescent="0.25">
      <c r="A237" t="s">
        <v>433</v>
      </c>
    </row>
    <row r="238" spans="1:1" x14ac:dyDescent="0.25">
      <c r="A238" t="s">
        <v>434</v>
      </c>
    </row>
    <row r="239" spans="1:1" x14ac:dyDescent="0.25">
      <c r="A239" t="s">
        <v>797</v>
      </c>
    </row>
    <row r="240" spans="1:1" x14ac:dyDescent="0.25">
      <c r="A240" t="s">
        <v>435</v>
      </c>
    </row>
    <row r="241" spans="1:1" x14ac:dyDescent="0.25">
      <c r="A241" t="s">
        <v>436</v>
      </c>
    </row>
    <row r="242" spans="1:1" x14ac:dyDescent="0.25">
      <c r="A242" t="s">
        <v>437</v>
      </c>
    </row>
    <row r="243" spans="1:1" x14ac:dyDescent="0.25">
      <c r="A243" t="s">
        <v>438</v>
      </c>
    </row>
    <row r="245" spans="1:1" x14ac:dyDescent="0.25">
      <c r="A245" t="s">
        <v>439</v>
      </c>
    </row>
    <row r="247" spans="1:1" x14ac:dyDescent="0.25">
      <c r="A247" t="s">
        <v>440</v>
      </c>
    </row>
    <row r="248" spans="1:1" x14ac:dyDescent="0.25">
      <c r="A248" t="s">
        <v>441</v>
      </c>
    </row>
    <row r="249" spans="1:1" x14ac:dyDescent="0.25">
      <c r="A249" t="s">
        <v>442</v>
      </c>
    </row>
    <row r="250" spans="1:1" x14ac:dyDescent="0.25">
      <c r="A250" t="s">
        <v>443</v>
      </c>
    </row>
    <row r="252" spans="1:1" x14ac:dyDescent="0.25">
      <c r="A252" t="s">
        <v>444</v>
      </c>
    </row>
    <row r="253" spans="1:1" x14ac:dyDescent="0.25">
      <c r="A253" t="s">
        <v>445</v>
      </c>
    </row>
    <row r="254" spans="1:1" x14ac:dyDescent="0.25">
      <c r="A254" t="s">
        <v>446</v>
      </c>
    </row>
    <row r="255" spans="1:1" x14ac:dyDescent="0.25">
      <c r="A255" t="s">
        <v>447</v>
      </c>
    </row>
    <row r="257" spans="1:1" x14ac:dyDescent="0.25">
      <c r="A257" t="s">
        <v>448</v>
      </c>
    </row>
    <row r="258" spans="1:1" x14ac:dyDescent="0.25">
      <c r="A258" t="s">
        <v>449</v>
      </c>
    </row>
    <row r="259" spans="1:1" x14ac:dyDescent="0.25">
      <c r="A259" t="s">
        <v>450</v>
      </c>
    </row>
    <row r="260" spans="1:1" x14ac:dyDescent="0.25">
      <c r="A260" t="s">
        <v>451</v>
      </c>
    </row>
    <row r="261" spans="1:1" x14ac:dyDescent="0.25">
      <c r="A261" t="s">
        <v>452</v>
      </c>
    </row>
    <row r="262" spans="1:1" x14ac:dyDescent="0.25">
      <c r="A262" t="s">
        <v>453</v>
      </c>
    </row>
    <row r="263" spans="1:1" x14ac:dyDescent="0.25">
      <c r="A263" t="s">
        <v>454</v>
      </c>
    </row>
    <row r="264" spans="1:1" x14ac:dyDescent="0.25">
      <c r="A264" t="s">
        <v>455</v>
      </c>
    </row>
    <row r="265" spans="1:1" x14ac:dyDescent="0.25">
      <c r="A265" t="s">
        <v>456</v>
      </c>
    </row>
    <row r="266" spans="1:1" x14ac:dyDescent="0.25">
      <c r="A266" t="s">
        <v>457</v>
      </c>
    </row>
    <row r="267" spans="1:1" x14ac:dyDescent="0.25">
      <c r="A267" t="s">
        <v>458</v>
      </c>
    </row>
    <row r="269" spans="1:1" x14ac:dyDescent="0.25">
      <c r="A269" t="s">
        <v>459</v>
      </c>
    </row>
    <row r="270" spans="1:1" x14ac:dyDescent="0.25">
      <c r="A270" t="s">
        <v>460</v>
      </c>
    </row>
    <row r="271" spans="1:1" x14ac:dyDescent="0.25">
      <c r="A271" t="s">
        <v>461</v>
      </c>
    </row>
    <row r="272" spans="1:1" x14ac:dyDescent="0.25">
      <c r="A272" t="s">
        <v>462</v>
      </c>
    </row>
    <row r="273" spans="1:1" x14ac:dyDescent="0.25">
      <c r="A273" t="s">
        <v>463</v>
      </c>
    </row>
    <row r="275" spans="1:1" x14ac:dyDescent="0.25">
      <c r="A275" t="s">
        <v>464</v>
      </c>
    </row>
    <row r="276" spans="1:1" x14ac:dyDescent="0.25">
      <c r="A276" t="s">
        <v>465</v>
      </c>
    </row>
    <row r="277" spans="1:1" x14ac:dyDescent="0.25">
      <c r="A277" t="s">
        <v>466</v>
      </c>
    </row>
    <row r="278" spans="1:1" x14ac:dyDescent="0.25">
      <c r="A278" t="s">
        <v>467</v>
      </c>
    </row>
    <row r="279" spans="1:1" x14ac:dyDescent="0.25">
      <c r="A279" t="s">
        <v>468</v>
      </c>
    </row>
    <row r="280" spans="1:1" x14ac:dyDescent="0.25">
      <c r="A280" t="s">
        <v>469</v>
      </c>
    </row>
    <row r="281" spans="1:1" x14ac:dyDescent="0.25">
      <c r="A281" t="s">
        <v>470</v>
      </c>
    </row>
    <row r="282" spans="1:1" x14ac:dyDescent="0.25">
      <c r="A282" t="s">
        <v>471</v>
      </c>
    </row>
    <row r="283" spans="1:1" x14ac:dyDescent="0.25">
      <c r="A283" t="s">
        <v>472</v>
      </c>
    </row>
    <row r="284" spans="1:1" x14ac:dyDescent="0.25">
      <c r="A284" t="s">
        <v>473</v>
      </c>
    </row>
    <row r="285" spans="1:1" x14ac:dyDescent="0.25">
      <c r="A285" t="s">
        <v>474</v>
      </c>
    </row>
    <row r="286" spans="1:1" x14ac:dyDescent="0.25">
      <c r="A286" t="s">
        <v>475</v>
      </c>
    </row>
    <row r="288" spans="1:1" x14ac:dyDescent="0.25">
      <c r="A288" t="s">
        <v>476</v>
      </c>
    </row>
    <row r="289" spans="1:1" x14ac:dyDescent="0.25">
      <c r="A289" t="s">
        <v>477</v>
      </c>
    </row>
    <row r="290" spans="1:1" x14ac:dyDescent="0.25">
      <c r="A290" t="s">
        <v>478</v>
      </c>
    </row>
    <row r="291" spans="1:1" x14ac:dyDescent="0.25">
      <c r="A291" t="s">
        <v>479</v>
      </c>
    </row>
    <row r="293" spans="1:1" x14ac:dyDescent="0.25">
      <c r="A293" t="s">
        <v>480</v>
      </c>
    </row>
    <row r="294" spans="1:1" x14ac:dyDescent="0.25">
      <c r="A294" t="s">
        <v>481</v>
      </c>
    </row>
    <row r="295" spans="1:1" x14ac:dyDescent="0.25">
      <c r="A295" t="s">
        <v>482</v>
      </c>
    </row>
    <row r="297" spans="1:1" x14ac:dyDescent="0.25">
      <c r="A297" t="s">
        <v>483</v>
      </c>
    </row>
    <row r="298" spans="1:1" x14ac:dyDescent="0.25">
      <c r="A298" t="s">
        <v>484</v>
      </c>
    </row>
    <row r="299" spans="1:1" x14ac:dyDescent="0.25">
      <c r="A299" t="s">
        <v>485</v>
      </c>
    </row>
    <row r="300" spans="1:1" x14ac:dyDescent="0.25">
      <c r="A300" t="s">
        <v>486</v>
      </c>
    </row>
    <row r="301" spans="1:1" x14ac:dyDescent="0.25">
      <c r="A301" t="s">
        <v>487</v>
      </c>
    </row>
    <row r="302" spans="1:1" x14ac:dyDescent="0.25">
      <c r="A302" t="s">
        <v>488</v>
      </c>
    </row>
    <row r="303" spans="1:1" x14ac:dyDescent="0.25">
      <c r="A303" t="s">
        <v>489</v>
      </c>
    </row>
    <row r="304" spans="1:1" x14ac:dyDescent="0.25">
      <c r="A304" t="s">
        <v>490</v>
      </c>
    </row>
    <row r="305" spans="1:1" x14ac:dyDescent="0.25">
      <c r="A305" t="s">
        <v>491</v>
      </c>
    </row>
    <row r="306" spans="1:1" x14ac:dyDescent="0.25">
      <c r="A306" t="s">
        <v>492</v>
      </c>
    </row>
    <row r="307" spans="1:1" x14ac:dyDescent="0.25">
      <c r="A307" t="s">
        <v>493</v>
      </c>
    </row>
    <row r="308" spans="1:1" x14ac:dyDescent="0.25">
      <c r="A308" t="s">
        <v>494</v>
      </c>
    </row>
    <row r="310" spans="1:1" x14ac:dyDescent="0.25">
      <c r="A310" t="s">
        <v>495</v>
      </c>
    </row>
    <row r="311" spans="1:1" x14ac:dyDescent="0.25">
      <c r="A311" t="s">
        <v>496</v>
      </c>
    </row>
    <row r="312" spans="1:1" x14ac:dyDescent="0.25">
      <c r="A312" t="s">
        <v>497</v>
      </c>
    </row>
    <row r="313" spans="1:1" x14ac:dyDescent="0.25">
      <c r="A313" t="s">
        <v>498</v>
      </c>
    </row>
    <row r="314" spans="1:1" x14ac:dyDescent="0.25">
      <c r="A314" t="s">
        <v>499</v>
      </c>
    </row>
    <row r="315" spans="1:1" x14ac:dyDescent="0.25">
      <c r="A315" t="s">
        <v>500</v>
      </c>
    </row>
    <row r="316" spans="1:1" x14ac:dyDescent="0.25">
      <c r="A316" t="s">
        <v>501</v>
      </c>
    </row>
    <row r="318" spans="1:1" x14ac:dyDescent="0.25">
      <c r="A318" t="s">
        <v>502</v>
      </c>
    </row>
    <row r="319" spans="1:1" x14ac:dyDescent="0.25">
      <c r="A319" t="s">
        <v>503</v>
      </c>
    </row>
    <row r="320" spans="1:1" x14ac:dyDescent="0.25">
      <c r="A320" t="s">
        <v>504</v>
      </c>
    </row>
    <row r="321" spans="1:1" x14ac:dyDescent="0.25">
      <c r="A321" t="s">
        <v>505</v>
      </c>
    </row>
    <row r="322" spans="1:1" x14ac:dyDescent="0.25">
      <c r="A322" t="s">
        <v>506</v>
      </c>
    </row>
    <row r="323" spans="1:1" x14ac:dyDescent="0.25">
      <c r="A323" t="s">
        <v>507</v>
      </c>
    </row>
    <row r="324" spans="1:1" x14ac:dyDescent="0.25">
      <c r="A324" t="s">
        <v>508</v>
      </c>
    </row>
    <row r="325" spans="1:1" x14ac:dyDescent="0.25">
      <c r="A325" t="s">
        <v>509</v>
      </c>
    </row>
    <row r="326" spans="1:1" x14ac:dyDescent="0.25">
      <c r="A326" t="s">
        <v>510</v>
      </c>
    </row>
    <row r="327" spans="1:1" x14ac:dyDescent="0.25">
      <c r="A327" t="s">
        <v>511</v>
      </c>
    </row>
    <row r="329" spans="1:1" x14ac:dyDescent="0.25">
      <c r="A329" t="s">
        <v>512</v>
      </c>
    </row>
    <row r="330" spans="1:1" x14ac:dyDescent="0.25">
      <c r="A330" t="s">
        <v>513</v>
      </c>
    </row>
    <row r="331" spans="1:1" x14ac:dyDescent="0.25">
      <c r="A331" t="s">
        <v>514</v>
      </c>
    </row>
    <row r="332" spans="1:1" x14ac:dyDescent="0.25">
      <c r="A332" t="s">
        <v>515</v>
      </c>
    </row>
    <row r="333" spans="1:1" x14ac:dyDescent="0.25">
      <c r="A333" t="s">
        <v>516</v>
      </c>
    </row>
    <row r="334" spans="1:1" x14ac:dyDescent="0.25">
      <c r="A334" t="s">
        <v>517</v>
      </c>
    </row>
    <row r="335" spans="1:1" x14ac:dyDescent="0.25">
      <c r="A335" t="s">
        <v>518</v>
      </c>
    </row>
    <row r="337" spans="1:1" x14ac:dyDescent="0.25">
      <c r="A337" t="s">
        <v>519</v>
      </c>
    </row>
    <row r="338" spans="1:1" x14ac:dyDescent="0.25">
      <c r="A338" t="s">
        <v>520</v>
      </c>
    </row>
    <row r="339" spans="1:1" x14ac:dyDescent="0.25">
      <c r="A339" t="s">
        <v>521</v>
      </c>
    </row>
    <row r="340" spans="1:1" x14ac:dyDescent="0.25">
      <c r="A340" t="s">
        <v>522</v>
      </c>
    </row>
    <row r="341" spans="1:1" x14ac:dyDescent="0.25">
      <c r="A341" t="s">
        <v>523</v>
      </c>
    </row>
    <row r="343" spans="1:1" x14ac:dyDescent="0.25">
      <c r="A343" t="s">
        <v>524</v>
      </c>
    </row>
    <row r="345" spans="1:1" x14ac:dyDescent="0.25">
      <c r="A345" t="s">
        <v>525</v>
      </c>
    </row>
    <row r="346" spans="1:1" x14ac:dyDescent="0.25">
      <c r="A346" t="s">
        <v>526</v>
      </c>
    </row>
    <row r="347" spans="1:1" x14ac:dyDescent="0.25">
      <c r="A347" t="s">
        <v>527</v>
      </c>
    </row>
    <row r="348" spans="1:1" x14ac:dyDescent="0.25">
      <c r="A348" t="s">
        <v>528</v>
      </c>
    </row>
    <row r="349" spans="1:1" x14ac:dyDescent="0.25">
      <c r="A349" t="s">
        <v>529</v>
      </c>
    </row>
    <row r="350" spans="1:1" x14ac:dyDescent="0.25">
      <c r="A350" t="s">
        <v>530</v>
      </c>
    </row>
    <row r="351" spans="1:1" x14ac:dyDescent="0.25">
      <c r="A351" t="s">
        <v>531</v>
      </c>
    </row>
    <row r="352" spans="1:1" x14ac:dyDescent="0.25">
      <c r="A352" t="s">
        <v>532</v>
      </c>
    </row>
    <row r="354" spans="1:1" x14ac:dyDescent="0.25">
      <c r="A354" t="s">
        <v>533</v>
      </c>
    </row>
    <row r="355" spans="1:1" x14ac:dyDescent="0.25">
      <c r="A355" t="s">
        <v>534</v>
      </c>
    </row>
    <row r="356" spans="1:1" x14ac:dyDescent="0.25">
      <c r="A356" t="s">
        <v>535</v>
      </c>
    </row>
    <row r="357" spans="1:1" x14ac:dyDescent="0.25">
      <c r="A357" t="s">
        <v>536</v>
      </c>
    </row>
    <row r="358" spans="1:1" x14ac:dyDescent="0.25">
      <c r="A358" t="s">
        <v>537</v>
      </c>
    </row>
    <row r="359" spans="1:1" x14ac:dyDescent="0.25">
      <c r="A359" t="s">
        <v>538</v>
      </c>
    </row>
    <row r="361" spans="1:1" x14ac:dyDescent="0.25">
      <c r="A361" t="s">
        <v>539</v>
      </c>
    </row>
    <row r="362" spans="1:1" x14ac:dyDescent="0.25">
      <c r="A362" t="s">
        <v>540</v>
      </c>
    </row>
    <row r="363" spans="1:1" x14ac:dyDescent="0.25">
      <c r="A363" t="s">
        <v>541</v>
      </c>
    </row>
    <row r="365" spans="1:1" x14ac:dyDescent="0.25">
      <c r="A365" t="s">
        <v>542</v>
      </c>
    </row>
    <row r="366" spans="1:1" x14ac:dyDescent="0.25">
      <c r="A366" t="s">
        <v>543</v>
      </c>
    </row>
    <row r="368" spans="1:1" x14ac:dyDescent="0.25">
      <c r="A368" t="s">
        <v>544</v>
      </c>
    </row>
    <row r="369" spans="1:1" x14ac:dyDescent="0.25">
      <c r="A369" t="s">
        <v>545</v>
      </c>
    </row>
    <row r="370" spans="1:1" x14ac:dyDescent="0.25">
      <c r="A370" t="s">
        <v>546</v>
      </c>
    </row>
    <row r="372" spans="1:1" x14ac:dyDescent="0.25">
      <c r="A372" t="s">
        <v>547</v>
      </c>
    </row>
    <row r="373" spans="1:1" x14ac:dyDescent="0.25">
      <c r="A373" t="s">
        <v>548</v>
      </c>
    </row>
    <row r="374" spans="1:1" x14ac:dyDescent="0.25">
      <c r="A374" t="s">
        <v>549</v>
      </c>
    </row>
    <row r="376" spans="1:1" x14ac:dyDescent="0.25">
      <c r="A376" t="s">
        <v>550</v>
      </c>
    </row>
    <row r="377" spans="1:1" x14ac:dyDescent="0.25">
      <c r="A377" t="s">
        <v>551</v>
      </c>
    </row>
    <row r="379" spans="1:1" x14ac:dyDescent="0.25">
      <c r="A379" t="s">
        <v>552</v>
      </c>
    </row>
    <row r="380" spans="1:1" x14ac:dyDescent="0.25">
      <c r="A380" t="s">
        <v>553</v>
      </c>
    </row>
    <row r="382" spans="1:1" x14ac:dyDescent="0.25">
      <c r="A382" t="s">
        <v>554</v>
      </c>
    </row>
    <row r="383" spans="1:1" x14ac:dyDescent="0.25">
      <c r="A383" t="s">
        <v>555</v>
      </c>
    </row>
    <row r="384" spans="1:1" x14ac:dyDescent="0.25">
      <c r="A384" t="s">
        <v>556</v>
      </c>
    </row>
    <row r="385" spans="1:1" x14ac:dyDescent="0.25">
      <c r="A385" t="s">
        <v>557</v>
      </c>
    </row>
    <row r="386" spans="1:1" x14ac:dyDescent="0.25">
      <c r="A386" t="s">
        <v>558</v>
      </c>
    </row>
    <row r="388" spans="1:1" x14ac:dyDescent="0.25">
      <c r="A388" t="s">
        <v>559</v>
      </c>
    </row>
    <row r="389" spans="1:1" x14ac:dyDescent="0.25">
      <c r="A389" t="s">
        <v>560</v>
      </c>
    </row>
    <row r="390" spans="1:1" x14ac:dyDescent="0.25">
      <c r="A390" t="s">
        <v>561</v>
      </c>
    </row>
    <row r="391" spans="1:1" x14ac:dyDescent="0.25">
      <c r="A391" t="s">
        <v>562</v>
      </c>
    </row>
    <row r="392" spans="1:1" x14ac:dyDescent="0.25">
      <c r="A392" t="s">
        <v>563</v>
      </c>
    </row>
    <row r="393" spans="1:1" x14ac:dyDescent="0.25">
      <c r="A393" t="s">
        <v>564</v>
      </c>
    </row>
    <row r="394" spans="1:1" x14ac:dyDescent="0.25">
      <c r="A394" t="s">
        <v>565</v>
      </c>
    </row>
    <row r="395" spans="1:1" x14ac:dyDescent="0.25">
      <c r="A395" t="s">
        <v>566</v>
      </c>
    </row>
    <row r="396" spans="1:1" x14ac:dyDescent="0.25">
      <c r="A396" t="s">
        <v>567</v>
      </c>
    </row>
    <row r="398" spans="1:1" x14ac:dyDescent="0.25">
      <c r="A398" t="s">
        <v>568</v>
      </c>
    </row>
    <row r="399" spans="1:1" x14ac:dyDescent="0.25">
      <c r="A399" t="s">
        <v>569</v>
      </c>
    </row>
    <row r="400" spans="1:1" x14ac:dyDescent="0.25">
      <c r="A400" t="s">
        <v>570</v>
      </c>
    </row>
    <row r="401" spans="1:1" x14ac:dyDescent="0.25">
      <c r="A401" t="s">
        <v>571</v>
      </c>
    </row>
    <row r="403" spans="1:1" x14ac:dyDescent="0.25">
      <c r="A403" t="s">
        <v>572</v>
      </c>
    </row>
    <row r="404" spans="1:1" x14ac:dyDescent="0.25">
      <c r="A404" t="s">
        <v>573</v>
      </c>
    </row>
    <row r="405" spans="1:1" x14ac:dyDescent="0.25">
      <c r="A405" t="s">
        <v>574</v>
      </c>
    </row>
    <row r="407" spans="1:1" x14ac:dyDescent="0.25">
      <c r="A407" t="s">
        <v>575</v>
      </c>
    </row>
    <row r="409" spans="1:1" x14ac:dyDescent="0.25">
      <c r="A409" t="s">
        <v>576</v>
      </c>
    </row>
    <row r="410" spans="1:1" x14ac:dyDescent="0.25">
      <c r="A410" t="s">
        <v>577</v>
      </c>
    </row>
    <row r="411" spans="1:1" x14ac:dyDescent="0.25">
      <c r="A411" t="s">
        <v>578</v>
      </c>
    </row>
    <row r="412" spans="1:1" x14ac:dyDescent="0.25">
      <c r="A412" t="s">
        <v>579</v>
      </c>
    </row>
    <row r="413" spans="1:1" x14ac:dyDescent="0.25">
      <c r="A413" t="s">
        <v>580</v>
      </c>
    </row>
    <row r="415" spans="1:1" x14ac:dyDescent="0.25">
      <c r="A415" t="s">
        <v>581</v>
      </c>
    </row>
    <row r="416" spans="1:1" x14ac:dyDescent="0.25">
      <c r="A416" t="s">
        <v>582</v>
      </c>
    </row>
    <row r="417" spans="1:1" x14ac:dyDescent="0.25">
      <c r="A417" t="s">
        <v>583</v>
      </c>
    </row>
    <row r="418" spans="1:1" x14ac:dyDescent="0.25">
      <c r="A418" t="s">
        <v>584</v>
      </c>
    </row>
    <row r="419" spans="1:1" x14ac:dyDescent="0.25">
      <c r="A419" t="s">
        <v>585</v>
      </c>
    </row>
    <row r="420" spans="1:1" x14ac:dyDescent="0.25">
      <c r="A420" t="s">
        <v>586</v>
      </c>
    </row>
    <row r="422" spans="1:1" x14ac:dyDescent="0.25">
      <c r="A422" t="s">
        <v>587</v>
      </c>
    </row>
    <row r="423" spans="1:1" x14ac:dyDescent="0.25">
      <c r="A423" t="s">
        <v>588</v>
      </c>
    </row>
    <row r="424" spans="1:1" x14ac:dyDescent="0.25">
      <c r="A424" t="s">
        <v>589</v>
      </c>
    </row>
    <row r="425" spans="1:1" x14ac:dyDescent="0.25">
      <c r="A425" t="s">
        <v>590</v>
      </c>
    </row>
    <row r="426" spans="1:1" x14ac:dyDescent="0.25">
      <c r="A426" t="s">
        <v>591</v>
      </c>
    </row>
    <row r="427" spans="1:1" x14ac:dyDescent="0.25">
      <c r="A427" t="s">
        <v>592</v>
      </c>
    </row>
    <row r="429" spans="1:1" x14ac:dyDescent="0.25">
      <c r="A429" t="s">
        <v>593</v>
      </c>
    </row>
    <row r="430" spans="1:1" x14ac:dyDescent="0.25">
      <c r="A430" t="s">
        <v>594</v>
      </c>
    </row>
    <row r="431" spans="1:1" x14ac:dyDescent="0.25">
      <c r="A431" t="s">
        <v>595</v>
      </c>
    </row>
    <row r="432" spans="1:1" x14ac:dyDescent="0.25">
      <c r="A432" t="s">
        <v>596</v>
      </c>
    </row>
    <row r="433" spans="1:1" x14ac:dyDescent="0.25">
      <c r="A433" t="s">
        <v>597</v>
      </c>
    </row>
    <row r="435" spans="1:1" x14ac:dyDescent="0.25">
      <c r="A435" t="s">
        <v>598</v>
      </c>
    </row>
    <row r="437" spans="1:1" x14ac:dyDescent="0.25">
      <c r="A437" t="s">
        <v>599</v>
      </c>
    </row>
    <row r="438" spans="1:1" x14ac:dyDescent="0.25">
      <c r="A438" t="s">
        <v>600</v>
      </c>
    </row>
    <row r="439" spans="1:1" x14ac:dyDescent="0.25">
      <c r="A439" t="s">
        <v>601</v>
      </c>
    </row>
    <row r="440" spans="1:1" x14ac:dyDescent="0.25">
      <c r="A440" t="s">
        <v>602</v>
      </c>
    </row>
    <row r="441" spans="1:1" x14ac:dyDescent="0.25">
      <c r="A441" t="s">
        <v>603</v>
      </c>
    </row>
    <row r="442" spans="1:1" x14ac:dyDescent="0.25">
      <c r="A442" t="s">
        <v>604</v>
      </c>
    </row>
    <row r="443" spans="1:1" x14ac:dyDescent="0.25">
      <c r="A443" t="s">
        <v>605</v>
      </c>
    </row>
    <row r="444" spans="1:1" x14ac:dyDescent="0.25">
      <c r="A444" t="s">
        <v>606</v>
      </c>
    </row>
    <row r="446" spans="1:1" x14ac:dyDescent="0.25">
      <c r="A446" t="s">
        <v>607</v>
      </c>
    </row>
    <row r="448" spans="1:1" x14ac:dyDescent="0.25">
      <c r="A448" t="s">
        <v>608</v>
      </c>
    </row>
    <row r="449" spans="1:1" x14ac:dyDescent="0.25">
      <c r="A449" t="s">
        <v>609</v>
      </c>
    </row>
    <row r="450" spans="1:1" x14ac:dyDescent="0.25">
      <c r="A450" t="s">
        <v>610</v>
      </c>
    </row>
    <row r="451" spans="1:1" x14ac:dyDescent="0.25">
      <c r="A451" t="s">
        <v>611</v>
      </c>
    </row>
    <row r="453" spans="1:1" x14ac:dyDescent="0.25">
      <c r="A453" t="s">
        <v>612</v>
      </c>
    </row>
    <row r="454" spans="1:1" x14ac:dyDescent="0.25">
      <c r="A454" t="s">
        <v>613</v>
      </c>
    </row>
    <row r="455" spans="1:1" x14ac:dyDescent="0.25">
      <c r="A455" t="s">
        <v>614</v>
      </c>
    </row>
    <row r="456" spans="1:1" x14ac:dyDescent="0.25">
      <c r="A456" t="s">
        <v>615</v>
      </c>
    </row>
    <row r="457" spans="1:1" x14ac:dyDescent="0.25">
      <c r="A457" t="s">
        <v>616</v>
      </c>
    </row>
    <row r="458" spans="1:1" x14ac:dyDescent="0.25">
      <c r="A458" t="s">
        <v>617</v>
      </c>
    </row>
    <row r="459" spans="1:1" x14ac:dyDescent="0.25">
      <c r="A459" t="s">
        <v>618</v>
      </c>
    </row>
    <row r="460" spans="1:1" x14ac:dyDescent="0.25">
      <c r="A460" t="s">
        <v>619</v>
      </c>
    </row>
    <row r="461" spans="1:1" x14ac:dyDescent="0.25">
      <c r="A461" t="s">
        <v>620</v>
      </c>
    </row>
    <row r="463" spans="1:1" x14ac:dyDescent="0.25">
      <c r="A463" t="s">
        <v>621</v>
      </c>
    </row>
    <row r="464" spans="1:1" x14ac:dyDescent="0.25">
      <c r="A464" t="s">
        <v>622</v>
      </c>
    </row>
    <row r="465" spans="1:1" x14ac:dyDescent="0.25">
      <c r="A465" t="s">
        <v>623</v>
      </c>
    </row>
    <row r="466" spans="1:1" x14ac:dyDescent="0.25">
      <c r="A466" t="s">
        <v>624</v>
      </c>
    </row>
    <row r="467" spans="1:1" x14ac:dyDescent="0.25">
      <c r="A467" t="s">
        <v>625</v>
      </c>
    </row>
    <row r="468" spans="1:1" x14ac:dyDescent="0.25">
      <c r="A468" t="s">
        <v>626</v>
      </c>
    </row>
    <row r="469" spans="1:1" x14ac:dyDescent="0.25">
      <c r="A469" t="s">
        <v>627</v>
      </c>
    </row>
    <row r="471" spans="1:1" x14ac:dyDescent="0.25">
      <c r="A471" t="s">
        <v>628</v>
      </c>
    </row>
    <row r="473" spans="1:1" x14ac:dyDescent="0.25">
      <c r="A473" t="s">
        <v>629</v>
      </c>
    </row>
    <row r="474" spans="1:1" x14ac:dyDescent="0.25">
      <c r="A474" t="s">
        <v>630</v>
      </c>
    </row>
    <row r="475" spans="1:1" x14ac:dyDescent="0.25">
      <c r="A475" t="s">
        <v>631</v>
      </c>
    </row>
    <row r="477" spans="1:1" x14ac:dyDescent="0.25">
      <c r="A477" t="s">
        <v>632</v>
      </c>
    </row>
    <row r="478" spans="1:1" x14ac:dyDescent="0.25">
      <c r="A478" t="s">
        <v>633</v>
      </c>
    </row>
    <row r="479" spans="1:1" x14ac:dyDescent="0.25">
      <c r="A479" t="s">
        <v>634</v>
      </c>
    </row>
    <row r="480" spans="1:1" x14ac:dyDescent="0.25">
      <c r="A480" t="s">
        <v>635</v>
      </c>
    </row>
    <row r="481" spans="1:1" x14ac:dyDescent="0.25">
      <c r="A481" t="s">
        <v>636</v>
      </c>
    </row>
    <row r="482" spans="1:1" x14ac:dyDescent="0.25">
      <c r="A482" t="s">
        <v>637</v>
      </c>
    </row>
    <row r="483" spans="1:1" x14ac:dyDescent="0.25">
      <c r="A483" t="s">
        <v>638</v>
      </c>
    </row>
    <row r="484" spans="1:1" x14ac:dyDescent="0.25">
      <c r="A484" t="s">
        <v>639</v>
      </c>
    </row>
    <row r="485" spans="1:1" x14ac:dyDescent="0.25">
      <c r="A485" t="s">
        <v>640</v>
      </c>
    </row>
    <row r="487" spans="1:1" x14ac:dyDescent="0.25">
      <c r="A487" t="s">
        <v>641</v>
      </c>
    </row>
    <row r="488" spans="1:1" x14ac:dyDescent="0.25">
      <c r="A488" t="s">
        <v>642</v>
      </c>
    </row>
    <row r="489" spans="1:1" x14ac:dyDescent="0.25">
      <c r="A489" t="s">
        <v>643</v>
      </c>
    </row>
    <row r="490" spans="1:1" x14ac:dyDescent="0.25">
      <c r="A490" t="s">
        <v>644</v>
      </c>
    </row>
    <row r="492" spans="1:1" x14ac:dyDescent="0.25">
      <c r="A492" t="s">
        <v>645</v>
      </c>
    </row>
    <row r="493" spans="1:1" x14ac:dyDescent="0.25">
      <c r="A493" t="s">
        <v>646</v>
      </c>
    </row>
    <row r="494" spans="1:1" x14ac:dyDescent="0.25">
      <c r="A494" t="s">
        <v>647</v>
      </c>
    </row>
    <row r="495" spans="1:1" x14ac:dyDescent="0.25">
      <c r="A495" t="s">
        <v>648</v>
      </c>
    </row>
    <row r="496" spans="1:1" x14ac:dyDescent="0.25">
      <c r="A496" t="s">
        <v>649</v>
      </c>
    </row>
    <row r="497" spans="1:1" x14ac:dyDescent="0.25">
      <c r="A497" t="s">
        <v>650</v>
      </c>
    </row>
    <row r="499" spans="1:1" x14ac:dyDescent="0.25">
      <c r="A499" t="s">
        <v>651</v>
      </c>
    </row>
    <row r="500" spans="1:1" x14ac:dyDescent="0.25">
      <c r="A500" t="s">
        <v>652</v>
      </c>
    </row>
    <row r="501" spans="1:1" x14ac:dyDescent="0.25">
      <c r="A501" t="s">
        <v>653</v>
      </c>
    </row>
    <row r="502" spans="1:1" x14ac:dyDescent="0.25">
      <c r="A502" t="s">
        <v>654</v>
      </c>
    </row>
    <row r="503" spans="1:1" x14ac:dyDescent="0.25">
      <c r="A503" t="s">
        <v>655</v>
      </c>
    </row>
    <row r="504" spans="1:1" x14ac:dyDescent="0.25">
      <c r="A504" t="s">
        <v>656</v>
      </c>
    </row>
    <row r="505" spans="1:1" x14ac:dyDescent="0.25">
      <c r="A505" t="s">
        <v>657</v>
      </c>
    </row>
    <row r="506" spans="1:1" x14ac:dyDescent="0.25">
      <c r="A506" t="s">
        <v>658</v>
      </c>
    </row>
    <row r="507" spans="1:1" x14ac:dyDescent="0.25">
      <c r="A507" t="s">
        <v>659</v>
      </c>
    </row>
    <row r="508" spans="1:1" x14ac:dyDescent="0.25">
      <c r="A508" t="s">
        <v>660</v>
      </c>
    </row>
    <row r="509" spans="1:1" x14ac:dyDescent="0.25">
      <c r="A509" t="s">
        <v>661</v>
      </c>
    </row>
    <row r="510" spans="1:1" x14ac:dyDescent="0.25">
      <c r="A510" t="s">
        <v>662</v>
      </c>
    </row>
    <row r="511" spans="1:1" x14ac:dyDescent="0.25">
      <c r="A511" t="s">
        <v>663</v>
      </c>
    </row>
    <row r="513" spans="1:1" x14ac:dyDescent="0.25">
      <c r="A513" t="s">
        <v>664</v>
      </c>
    </row>
    <row r="514" spans="1:1" x14ac:dyDescent="0.25">
      <c r="A514" t="s">
        <v>665</v>
      </c>
    </row>
    <row r="515" spans="1:1" x14ac:dyDescent="0.25">
      <c r="A515" t="s">
        <v>666</v>
      </c>
    </row>
    <row r="516" spans="1:1" x14ac:dyDescent="0.25">
      <c r="A516" t="s">
        <v>667</v>
      </c>
    </row>
    <row r="517" spans="1:1" x14ac:dyDescent="0.25">
      <c r="A517" t="s">
        <v>668</v>
      </c>
    </row>
    <row r="518" spans="1:1" x14ac:dyDescent="0.25">
      <c r="A518" t="s">
        <v>669</v>
      </c>
    </row>
    <row r="519" spans="1:1" x14ac:dyDescent="0.25">
      <c r="A519" t="s">
        <v>670</v>
      </c>
    </row>
    <row r="521" spans="1:1" x14ac:dyDescent="0.25">
      <c r="A521" t="s">
        <v>671</v>
      </c>
    </row>
    <row r="522" spans="1:1" x14ac:dyDescent="0.25">
      <c r="A522" t="s">
        <v>672</v>
      </c>
    </row>
    <row r="523" spans="1:1" x14ac:dyDescent="0.25">
      <c r="A523" t="s">
        <v>673</v>
      </c>
    </row>
    <row r="524" spans="1:1" x14ac:dyDescent="0.25">
      <c r="A524" t="s">
        <v>674</v>
      </c>
    </row>
    <row r="525" spans="1:1" x14ac:dyDescent="0.25">
      <c r="A525" t="s">
        <v>675</v>
      </c>
    </row>
    <row r="526" spans="1:1" x14ac:dyDescent="0.25">
      <c r="A526" t="s">
        <v>676</v>
      </c>
    </row>
    <row r="527" spans="1:1" x14ac:dyDescent="0.25">
      <c r="A527" t="s">
        <v>677</v>
      </c>
    </row>
    <row r="528" spans="1:1" x14ac:dyDescent="0.25">
      <c r="A528" t="s">
        <v>678</v>
      </c>
    </row>
    <row r="529" spans="1:1" x14ac:dyDescent="0.25">
      <c r="A529" t="s">
        <v>679</v>
      </c>
    </row>
    <row r="530" spans="1:1" x14ac:dyDescent="0.25">
      <c r="A530" t="s">
        <v>680</v>
      </c>
    </row>
    <row r="531" spans="1:1" x14ac:dyDescent="0.25">
      <c r="A531" t="s">
        <v>681</v>
      </c>
    </row>
    <row r="532" spans="1:1" x14ac:dyDescent="0.25">
      <c r="A532" t="s">
        <v>682</v>
      </c>
    </row>
    <row r="533" spans="1:1" x14ac:dyDescent="0.25">
      <c r="A533" t="s">
        <v>683</v>
      </c>
    </row>
    <row r="534" spans="1:1" x14ac:dyDescent="0.25">
      <c r="A534" t="s">
        <v>684</v>
      </c>
    </row>
    <row r="536" spans="1:1" x14ac:dyDescent="0.25">
      <c r="A536" t="s">
        <v>685</v>
      </c>
    </row>
    <row r="537" spans="1:1" x14ac:dyDescent="0.25">
      <c r="A537" t="s">
        <v>686</v>
      </c>
    </row>
    <row r="538" spans="1:1" x14ac:dyDescent="0.25">
      <c r="A538" t="s">
        <v>687</v>
      </c>
    </row>
    <row r="540" spans="1:1" x14ac:dyDescent="0.25">
      <c r="A540" t="s">
        <v>688</v>
      </c>
    </row>
    <row r="542" spans="1:1" x14ac:dyDescent="0.25">
      <c r="A542" t="s">
        <v>689</v>
      </c>
    </row>
    <row r="543" spans="1:1" x14ac:dyDescent="0.25">
      <c r="A543" t="s">
        <v>690</v>
      </c>
    </row>
    <row r="544" spans="1:1" x14ac:dyDescent="0.25">
      <c r="A544" t="s">
        <v>691</v>
      </c>
    </row>
    <row r="545" spans="1:1" x14ac:dyDescent="0.25">
      <c r="A545" t="s">
        <v>692</v>
      </c>
    </row>
    <row r="546" spans="1:1" x14ac:dyDescent="0.25">
      <c r="A546" t="s">
        <v>693</v>
      </c>
    </row>
    <row r="547" spans="1:1" x14ac:dyDescent="0.25">
      <c r="A547" t="s">
        <v>694</v>
      </c>
    </row>
    <row r="548" spans="1:1" x14ac:dyDescent="0.25">
      <c r="A548" t="s">
        <v>695</v>
      </c>
    </row>
    <row r="549" spans="1:1" x14ac:dyDescent="0.25">
      <c r="A549" t="s">
        <v>696</v>
      </c>
    </row>
    <row r="550" spans="1:1" x14ac:dyDescent="0.25">
      <c r="A550" t="s">
        <v>697</v>
      </c>
    </row>
    <row r="552" spans="1:1" x14ac:dyDescent="0.25">
      <c r="A552" t="s">
        <v>698</v>
      </c>
    </row>
    <row r="554" spans="1:1" x14ac:dyDescent="0.25">
      <c r="A554" t="s">
        <v>699</v>
      </c>
    </row>
    <row r="555" spans="1:1" x14ac:dyDescent="0.25">
      <c r="A555" t="s">
        <v>700</v>
      </c>
    </row>
    <row r="556" spans="1:1" x14ac:dyDescent="0.25">
      <c r="A556" t="s">
        <v>701</v>
      </c>
    </row>
    <row r="557" spans="1:1" x14ac:dyDescent="0.25">
      <c r="A557" t="s">
        <v>702</v>
      </c>
    </row>
    <row r="558" spans="1:1" x14ac:dyDescent="0.25">
      <c r="A558" t="s">
        <v>703</v>
      </c>
    </row>
    <row r="559" spans="1:1" x14ac:dyDescent="0.25">
      <c r="A559" t="s">
        <v>704</v>
      </c>
    </row>
    <row r="560" spans="1:1" x14ac:dyDescent="0.25">
      <c r="A560" t="s">
        <v>705</v>
      </c>
    </row>
    <row r="561" spans="1:1" x14ac:dyDescent="0.25">
      <c r="A561" t="s">
        <v>706</v>
      </c>
    </row>
    <row r="563" spans="1:1" x14ac:dyDescent="0.25">
      <c r="A563" t="s">
        <v>707</v>
      </c>
    </row>
    <row r="565" spans="1:1" x14ac:dyDescent="0.25">
      <c r="A565" t="s">
        <v>708</v>
      </c>
    </row>
    <row r="566" spans="1:1" x14ac:dyDescent="0.25">
      <c r="A566" t="s">
        <v>709</v>
      </c>
    </row>
    <row r="567" spans="1:1" x14ac:dyDescent="0.25">
      <c r="A567" t="s">
        <v>710</v>
      </c>
    </row>
    <row r="568" spans="1:1" x14ac:dyDescent="0.25">
      <c r="A568" t="s">
        <v>711</v>
      </c>
    </row>
    <row r="570" spans="1:1" x14ac:dyDescent="0.25">
      <c r="A570" t="s">
        <v>712</v>
      </c>
    </row>
    <row r="571" spans="1:1" x14ac:dyDescent="0.25">
      <c r="A571" t="s">
        <v>713</v>
      </c>
    </row>
    <row r="572" spans="1:1" x14ac:dyDescent="0.25">
      <c r="A572" t="s">
        <v>714</v>
      </c>
    </row>
    <row r="573" spans="1:1" x14ac:dyDescent="0.25">
      <c r="A573" t="s">
        <v>715</v>
      </c>
    </row>
    <row r="574" spans="1:1" x14ac:dyDescent="0.25">
      <c r="A574" t="s">
        <v>716</v>
      </c>
    </row>
    <row r="575" spans="1:1" x14ac:dyDescent="0.25">
      <c r="A575" t="s">
        <v>717</v>
      </c>
    </row>
    <row r="576" spans="1:1" x14ac:dyDescent="0.25">
      <c r="A576" t="s">
        <v>718</v>
      </c>
    </row>
    <row r="577" spans="1:1" x14ac:dyDescent="0.25">
      <c r="A577" t="s">
        <v>719</v>
      </c>
    </row>
    <row r="579" spans="1:1" x14ac:dyDescent="0.25">
      <c r="A579" t="s">
        <v>720</v>
      </c>
    </row>
    <row r="580" spans="1:1" x14ac:dyDescent="0.25">
      <c r="A580" t="s">
        <v>721</v>
      </c>
    </row>
    <row r="581" spans="1:1" x14ac:dyDescent="0.25">
      <c r="A581" t="s">
        <v>722</v>
      </c>
    </row>
    <row r="582" spans="1:1" x14ac:dyDescent="0.25">
      <c r="A582" t="s">
        <v>723</v>
      </c>
    </row>
    <row r="584" spans="1:1" x14ac:dyDescent="0.25">
      <c r="A584" t="s">
        <v>724</v>
      </c>
    </row>
    <row r="585" spans="1:1" x14ac:dyDescent="0.25">
      <c r="A585" t="s">
        <v>725</v>
      </c>
    </row>
    <row r="586" spans="1:1" x14ac:dyDescent="0.25">
      <c r="A586" t="s">
        <v>726</v>
      </c>
    </row>
    <row r="587" spans="1:1" x14ac:dyDescent="0.25">
      <c r="A587" t="s">
        <v>727</v>
      </c>
    </row>
    <row r="589" spans="1:1" x14ac:dyDescent="0.25">
      <c r="A589" t="s">
        <v>728</v>
      </c>
    </row>
    <row r="591" spans="1:1" x14ac:dyDescent="0.25">
      <c r="A591" t="s">
        <v>729</v>
      </c>
    </row>
    <row r="592" spans="1:1" x14ac:dyDescent="0.25">
      <c r="A592" t="s">
        <v>730</v>
      </c>
    </row>
    <row r="593" spans="1:1" x14ac:dyDescent="0.25">
      <c r="A593" t="s">
        <v>731</v>
      </c>
    </row>
    <row r="594" spans="1:1" x14ac:dyDescent="0.25">
      <c r="A594" t="s">
        <v>732</v>
      </c>
    </row>
    <row r="595" spans="1:1" x14ac:dyDescent="0.25">
      <c r="A595" t="s">
        <v>733</v>
      </c>
    </row>
    <row r="596" spans="1:1" x14ac:dyDescent="0.25">
      <c r="A596" t="s">
        <v>734</v>
      </c>
    </row>
    <row r="597" spans="1:1" x14ac:dyDescent="0.25">
      <c r="A597" t="s">
        <v>735</v>
      </c>
    </row>
    <row r="598" spans="1:1" x14ac:dyDescent="0.25">
      <c r="A598" t="s">
        <v>736</v>
      </c>
    </row>
    <row r="600" spans="1:1" x14ac:dyDescent="0.25">
      <c r="A600" t="s">
        <v>737</v>
      </c>
    </row>
    <row r="602" spans="1:1" x14ac:dyDescent="0.25">
      <c r="A602" t="s">
        <v>738</v>
      </c>
    </row>
    <row r="603" spans="1:1" x14ac:dyDescent="0.25">
      <c r="A603" t="s">
        <v>739</v>
      </c>
    </row>
    <row r="604" spans="1:1" x14ac:dyDescent="0.25">
      <c r="A604" t="s">
        <v>740</v>
      </c>
    </row>
    <row r="605" spans="1:1" x14ac:dyDescent="0.25">
      <c r="A605" t="s">
        <v>741</v>
      </c>
    </row>
    <row r="606" spans="1:1" x14ac:dyDescent="0.25">
      <c r="A606" t="s">
        <v>742</v>
      </c>
    </row>
    <row r="607" spans="1:1" x14ac:dyDescent="0.25">
      <c r="A607" t="s">
        <v>743</v>
      </c>
    </row>
    <row r="608" spans="1:1" x14ac:dyDescent="0.25">
      <c r="A608" t="s">
        <v>744</v>
      </c>
    </row>
    <row r="609" spans="1:1" x14ac:dyDescent="0.25">
      <c r="A609" t="s">
        <v>745</v>
      </c>
    </row>
    <row r="610" spans="1:1" x14ac:dyDescent="0.25">
      <c r="A610" t="s">
        <v>746</v>
      </c>
    </row>
    <row r="612" spans="1:1" x14ac:dyDescent="0.25">
      <c r="A612" t="s">
        <v>747</v>
      </c>
    </row>
    <row r="614" spans="1:1" x14ac:dyDescent="0.25">
      <c r="A614" t="s">
        <v>748</v>
      </c>
    </row>
    <row r="615" spans="1:1" x14ac:dyDescent="0.25">
      <c r="A615" t="s">
        <v>749</v>
      </c>
    </row>
    <row r="616" spans="1:1" x14ac:dyDescent="0.25">
      <c r="A616" t="s">
        <v>750</v>
      </c>
    </row>
    <row r="617" spans="1:1" x14ac:dyDescent="0.25">
      <c r="A617" t="s">
        <v>751</v>
      </c>
    </row>
    <row r="618" spans="1:1" x14ac:dyDescent="0.25">
      <c r="A618" t="s">
        <v>752</v>
      </c>
    </row>
    <row r="619" spans="1:1" x14ac:dyDescent="0.25">
      <c r="A619" t="s">
        <v>753</v>
      </c>
    </row>
    <row r="621" spans="1:1" x14ac:dyDescent="0.25">
      <c r="A621" t="s">
        <v>754</v>
      </c>
    </row>
    <row r="623" spans="1:1" x14ac:dyDescent="0.25">
      <c r="A623" t="s">
        <v>755</v>
      </c>
    </row>
    <row r="625" spans="1:1" x14ac:dyDescent="0.25">
      <c r="A625" t="s">
        <v>756</v>
      </c>
    </row>
    <row r="626" spans="1:1" x14ac:dyDescent="0.25">
      <c r="A626" t="s">
        <v>757</v>
      </c>
    </row>
    <row r="627" spans="1:1" x14ac:dyDescent="0.25">
      <c r="A627" t="s">
        <v>758</v>
      </c>
    </row>
    <row r="629" spans="1:1" x14ac:dyDescent="0.25">
      <c r="A629" t="s">
        <v>759</v>
      </c>
    </row>
    <row r="630" spans="1:1" x14ac:dyDescent="0.25">
      <c r="A630" t="s">
        <v>760</v>
      </c>
    </row>
    <row r="631" spans="1:1" x14ac:dyDescent="0.25">
      <c r="A631" t="s">
        <v>761</v>
      </c>
    </row>
    <row r="632" spans="1:1" x14ac:dyDescent="0.25">
      <c r="A632" t="s">
        <v>762</v>
      </c>
    </row>
    <row r="634" spans="1:1" x14ac:dyDescent="0.25">
      <c r="A634" t="s">
        <v>763</v>
      </c>
    </row>
    <row r="635" spans="1:1" x14ac:dyDescent="0.25">
      <c r="A635" t="s">
        <v>764</v>
      </c>
    </row>
    <row r="637" spans="1:1" x14ac:dyDescent="0.25">
      <c r="A637" t="s">
        <v>765</v>
      </c>
    </row>
    <row r="638" spans="1:1" x14ac:dyDescent="0.25">
      <c r="A638" t="s">
        <v>766</v>
      </c>
    </row>
    <row r="639" spans="1:1" x14ac:dyDescent="0.25">
      <c r="A639" t="s">
        <v>767</v>
      </c>
    </row>
    <row r="640" spans="1:1" x14ac:dyDescent="0.25">
      <c r="A640" t="s">
        <v>768</v>
      </c>
    </row>
    <row r="642" spans="1:1" x14ac:dyDescent="0.25">
      <c r="A642" t="s">
        <v>769</v>
      </c>
    </row>
    <row r="643" spans="1:1" x14ac:dyDescent="0.25">
      <c r="A643" t="s">
        <v>770</v>
      </c>
    </row>
    <row r="644" spans="1:1" x14ac:dyDescent="0.25">
      <c r="A644" t="s">
        <v>771</v>
      </c>
    </row>
    <row r="645" spans="1:1" x14ac:dyDescent="0.25">
      <c r="A645" t="s">
        <v>772</v>
      </c>
    </row>
    <row r="647" spans="1:1" x14ac:dyDescent="0.25">
      <c r="A647" t="s">
        <v>773</v>
      </c>
    </row>
    <row r="648" spans="1:1" x14ac:dyDescent="0.25">
      <c r="A648" t="s">
        <v>774</v>
      </c>
    </row>
    <row r="650" spans="1:1" x14ac:dyDescent="0.25">
      <c r="A650" t="s">
        <v>775</v>
      </c>
    </row>
    <row r="652" spans="1:1" x14ac:dyDescent="0.25">
      <c r="A652" t="s">
        <v>776</v>
      </c>
    </row>
    <row r="653" spans="1:1" x14ac:dyDescent="0.25">
      <c r="A653" t="s">
        <v>777</v>
      </c>
    </row>
    <row r="655" spans="1:1" x14ac:dyDescent="0.25">
      <c r="A655" t="s">
        <v>778</v>
      </c>
    </row>
    <row r="656" spans="1:1" x14ac:dyDescent="0.25">
      <c r="A656" t="s">
        <v>779</v>
      </c>
    </row>
    <row r="657" spans="1:1" x14ac:dyDescent="0.25">
      <c r="A657" t="s">
        <v>780</v>
      </c>
    </row>
    <row r="658" spans="1:1" x14ac:dyDescent="0.25">
      <c r="A658" t="s">
        <v>781</v>
      </c>
    </row>
    <row r="660" spans="1:1" x14ac:dyDescent="0.25">
      <c r="A660" t="s">
        <v>782</v>
      </c>
    </row>
    <row r="661" spans="1:1" x14ac:dyDescent="0.25">
      <c r="A661" t="s">
        <v>783</v>
      </c>
    </row>
    <row r="662" spans="1:1" x14ac:dyDescent="0.25">
      <c r="A662" t="s">
        <v>784</v>
      </c>
    </row>
    <row r="664" spans="1:1" x14ac:dyDescent="0.25">
      <c r="A664" t="s">
        <v>785</v>
      </c>
    </row>
    <row r="665" spans="1:1" x14ac:dyDescent="0.25">
      <c r="A665" t="s">
        <v>786</v>
      </c>
    </row>
    <row r="666" spans="1:1" x14ac:dyDescent="0.25">
      <c r="A666" t="s">
        <v>787</v>
      </c>
    </row>
    <row r="667" spans="1:1" x14ac:dyDescent="0.25">
      <c r="A667" t="s">
        <v>788</v>
      </c>
    </row>
    <row r="669" spans="1:1" x14ac:dyDescent="0.25">
      <c r="A669" t="s">
        <v>789</v>
      </c>
    </row>
    <row r="670" spans="1:1" x14ac:dyDescent="0.25">
      <c r="A670" t="s">
        <v>790</v>
      </c>
    </row>
    <row r="671" spans="1:1" x14ac:dyDescent="0.25">
      <c r="A671" t="s">
        <v>791</v>
      </c>
    </row>
    <row r="672" spans="1:1" x14ac:dyDescent="0.25">
      <c r="A672" t="s">
        <v>792</v>
      </c>
    </row>
    <row r="673" spans="1:1" x14ac:dyDescent="0.25">
      <c r="A673" t="s">
        <v>793</v>
      </c>
    </row>
    <row r="674" spans="1:1" x14ac:dyDescent="0.25">
      <c r="A674" t="s">
        <v>794</v>
      </c>
    </row>
  </sheetData>
  <sheetProtection algorithmName="SHA-512" hashValue="3WTOo2lpMaJjWOPmF+/uv29F+kYXfG2O/HGBWnTrMXx1FyEj2SmpVi5RKzYS1KYtlELac5CGYXN0NSl3pGUM1A==" saltValue="3NtQPgBOxaPB+0jmeIJ8J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25312A-3597-408B-B96F-5965DA746A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Instrucciones</vt:lpstr>
      <vt:lpstr>Principal</vt:lpstr>
      <vt:lpstr>Pregunta</vt:lpstr>
      <vt:lpstr>BD</vt:lpstr>
      <vt:lpstr>Gráficos</vt:lpstr>
      <vt:lpstr>Glosario</vt:lpstr>
      <vt:lpstr>Anotaciones</vt:lpstr>
      <vt:lpstr>Sesion</vt:lpstr>
      <vt:lpstr>Acerca de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T. Marquez Muñoz</dc:creator>
  <cp:lastModifiedBy>Antonio T. Marquez Muñoz</cp:lastModifiedBy>
  <dcterms:created xsi:type="dcterms:W3CDTF">2006-09-12T12:46:56Z</dcterms:created>
  <dcterms:modified xsi:type="dcterms:W3CDTF">2026-07-12T11:38:37Z</dcterms:modified>
</cp:coreProperties>
</file>